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novation Record" state="visible" r:id="rId4"/>
    <sheet sheetId="2" name="ReferenceData" state="hidden" r:id="rId5"/>
  </sheets>
  <calcPr calcId="171027"/>
</workbook>
</file>

<file path=xl/sharedStrings.xml><?xml version="1.0" encoding="utf-8"?>
<sst xmlns="http://schemas.openxmlformats.org/spreadsheetml/2006/main" count="3165" uniqueCount="1108">
  <si>
    <t/>
  </si>
  <si>
    <t>Field (Question)</t>
  </si>
  <si>
    <t>Your Answer</t>
  </si>
  <si>
    <t>Sub-Answer (If applicable)</t>
  </si>
  <si>
    <t>Guidance</t>
  </si>
  <si>
    <t>ID (Hidden)</t>
  </si>
  <si>
    <t>Helper (Hidden)</t>
  </si>
  <si>
    <t>Sub Helper 1 (Hidden)</t>
  </si>
  <si>
    <t>Sub Helper 2 (Hidden)</t>
  </si>
  <si>
    <t>1. About your innovation</t>
  </si>
  <si>
    <t>1.1. Description of innovation</t>
  </si>
  <si>
    <t>What is the name of your innovation?</t>
  </si>
  <si>
    <t xml:space="preserve">Enter the name of your innovation with a maximum of 100 characters
(Required) (Max 100 chars)</t>
  </si>
  <si>
    <t>name</t>
  </si>
  <si>
    <t>Provide a short description of your innovation</t>
  </si>
  <si>
    <t xml:space="preserve">Provide a high-level overview of your innovation. You will have the opportunity to explain its impact, target population, testing and revenue model later in the innovation record.
(Required) (Max 500 chars)</t>
  </si>
  <si>
    <t>description</t>
  </si>
  <si>
    <t>Where is your head office located?</t>
  </si>
  <si>
    <t xml:space="preserve">If your head office is overseas but you have a UK office, use the UK address.
If you are not part of a company or organisation, put where you are based.
We ask this to identify the organisations and people who are in the best position to support you.
(Required)</t>
  </si>
  <si>
    <t>officeLocation</t>
  </si>
  <si>
    <t xml:space="preserve">   ⚠️ CONDITIONAL SECTION: Only answer the question below if you answered 'England' or 'Scotland' or 'Wales' or 'Northern Ireland' for 'Where is your head office located?'</t>
  </si>
  <si>
    <t>What is your head office postcode?</t>
  </si>
  <si>
    <t>(Required) (Max 8 chars)</t>
  </si>
  <si>
    <t>postcode</t>
  </si>
  <si>
    <t xml:space="preserve">   ⚠️ CONDITIONAL SECTION: Only answer the question below if you answered 'I'm based outside of the UK' for 'Where is your head office located?'</t>
  </si>
  <si>
    <t>Which country is your head office located in?</t>
  </si>
  <si>
    <t>(Required)</t>
  </si>
  <si>
    <t>countryLocation</t>
  </si>
  <si>
    <t>Does your innovation have a website?</t>
  </si>
  <si>
    <t>hasWebsite</t>
  </si>
  <si>
    <t xml:space="preserve">   └─ Website
(⚠️ Only answer if you selected 'Yes' above)</t>
  </si>
  <si>
    <t>website</t>
  </si>
  <si>
    <t>Does your innovation have a video that explains how it works ?</t>
  </si>
  <si>
    <t>hasVideoDemonstration</t>
  </si>
  <si>
    <t xml:space="preserve">   └─ Link
(⚠️ Only answer if you selected 'Yes' above)</t>
  </si>
  <si>
    <t>videoDemonstrationUrl</t>
  </si>
  <si>
    <t>Select all the categories that can be used to describe your innovation</t>
  </si>
  <si>
    <t xml:space="preserve">     ◽ Medical device</t>
  </si>
  <si>
    <t>MEDICAL_DEVICE</t>
  </si>
  <si>
    <t xml:space="preserve">     ◽ In vitro diagnostic</t>
  </si>
  <si>
    <t>IN_VITRO_DIAGNOSTIC</t>
  </si>
  <si>
    <t xml:space="preserve">     ◽ Pharmaceutical</t>
  </si>
  <si>
    <t>PHARMACEUTICAL</t>
  </si>
  <si>
    <t xml:space="preserve">     ◽ Digital (including apps, platforms, software)</t>
  </si>
  <si>
    <t>DIGITAL</t>
  </si>
  <si>
    <t xml:space="preserve">     ◽ Artificial intelligence (AI)</t>
  </si>
  <si>
    <t>AI</t>
  </si>
  <si>
    <t xml:space="preserve">     ◽ Education or training of workforce</t>
  </si>
  <si>
    <t>EDUCATION</t>
  </si>
  <si>
    <t xml:space="preserve">     ◽ Personal protective equipment (PPE)</t>
  </si>
  <si>
    <t>PPE</t>
  </si>
  <si>
    <t xml:space="preserve">     ◽ Models of care and clinical pathways</t>
  </si>
  <si>
    <t>MODELS_CARE</t>
  </si>
  <si>
    <t xml:space="preserve">     ◽ Estates and facilities</t>
  </si>
  <si>
    <t>ESTATES_FACILITIES</t>
  </si>
  <si>
    <t xml:space="preserve">     ◽ Travel and transport</t>
  </si>
  <si>
    <t>TRAVEL_TRANSPORT</t>
  </si>
  <si>
    <t xml:space="preserve">     ◽ Food and nutrition</t>
  </si>
  <si>
    <t>FOOD_NUTRITION</t>
  </si>
  <si>
    <t xml:space="preserve">     ◽ Data and monitoring</t>
  </si>
  <si>
    <t>DATA_MONITORING</t>
  </si>
  <si>
    <t xml:space="preserve">     ◽ Other</t>
  </si>
  <si>
    <t>OTHER</t>
  </si>
  <si>
    <t>Select a primary category to describe your innovation</t>
  </si>
  <si>
    <t>mainCategory</t>
  </si>
  <si>
    <t xml:space="preserve">   └─ Other category
(⚠️ Only answer if you selected 'Other' above)</t>
  </si>
  <si>
    <t>(Required) (Max 100 chars)</t>
  </si>
  <si>
    <t>otherCategoryDescription</t>
  </si>
  <si>
    <t>Is your innovation relevant to any of the following areas?</t>
  </si>
  <si>
    <t>We ask this to identify the organisations and people who are in the best position to support you.</t>
  </si>
  <si>
    <t xml:space="preserve">     ◽ Data, analytics and research</t>
  </si>
  <si>
    <t>DATA_ANALYTICS_AND_RESEARCH</t>
  </si>
  <si>
    <t xml:space="preserve">     ◽ Digitalising the system</t>
  </si>
  <si>
    <t>DIGITALISING_SYSTEM</t>
  </si>
  <si>
    <t xml:space="preserve">     ◽ Emerging infectious diseases</t>
  </si>
  <si>
    <t>EMERGING_INFECTIOUS_DISEASES</t>
  </si>
  <si>
    <t xml:space="preserve">     ◽ Hospital to community</t>
  </si>
  <si>
    <t>HOSPITAL_TO_COMMUNITY</t>
  </si>
  <si>
    <t xml:space="preserve">     ◽ Improving system flow</t>
  </si>
  <si>
    <t>IMPROVING_SYSTEM_FLOW</t>
  </si>
  <si>
    <t xml:space="preserve">     ◽ Net zero NHS or greener innovation</t>
  </si>
  <si>
    <t>NET_ZERO_GREENER_INNOVATION</t>
  </si>
  <si>
    <t xml:space="preserve">     ◽ Patient safety and quality improvement</t>
  </si>
  <si>
    <t>PATIENT_SAFETY</t>
  </si>
  <si>
    <t xml:space="preserve">     ◽ Preventive care</t>
  </si>
  <si>
    <t>PREVENTIVE_CARE</t>
  </si>
  <si>
    <t xml:space="preserve">     ◽ Supporting people to manage their health</t>
  </si>
  <si>
    <t>SUPPORTING_PEOPLE_HEALTH</t>
  </si>
  <si>
    <t xml:space="preserve">     ◽ Workforce resource optimisation</t>
  </si>
  <si>
    <t>WORKFORCE_RESOURCE_OPTIMISATION</t>
  </si>
  <si>
    <t xml:space="preserve">     ◽ None of those listed</t>
  </si>
  <si>
    <t>NONE</t>
  </si>
  <si>
    <t>In which care settings is your innovation relevant?</t>
  </si>
  <si>
    <t xml:space="preserve">     ◽ Academia</t>
  </si>
  <si>
    <t>ACADEMIA</t>
  </si>
  <si>
    <t xml:space="preserve">     ◽ Acute trust - inpatient</t>
  </si>
  <si>
    <t>ACUTE_TRUSTS_INPATIENT</t>
  </si>
  <si>
    <t xml:space="preserve">     ◽ Acute trust - outpatient</t>
  </si>
  <si>
    <t>ACUTE_TRUSTS_OUTPATIENT</t>
  </si>
  <si>
    <t xml:space="preserve">     ◽ Ambulance</t>
  </si>
  <si>
    <t>AMBULANCE</t>
  </si>
  <si>
    <t xml:space="preserve">     ◽ Care homes or care setting</t>
  </si>
  <si>
    <t>CARE_HOMES_CARE_SETTING</t>
  </si>
  <si>
    <t xml:space="preserve">     ◽ End of life care (EOLC)</t>
  </si>
  <si>
    <t>END_LIFE_CARE</t>
  </si>
  <si>
    <t xml:space="preserve">     ◽ ICS</t>
  </si>
  <si>
    <t>ICS</t>
  </si>
  <si>
    <t xml:space="preserve">     ◽ Industry</t>
  </si>
  <si>
    <t>INDUSTRY</t>
  </si>
  <si>
    <t xml:space="preserve">     ◽ Local authority - education</t>
  </si>
  <si>
    <t>LOCAL_AUTHORITY_EDUCATION</t>
  </si>
  <si>
    <t xml:space="preserve">     ◽ Mental health</t>
  </si>
  <si>
    <t>MENTAL_HEALTH</t>
  </si>
  <si>
    <t xml:space="preserve">     ◽ Pharmacies</t>
  </si>
  <si>
    <t>PHARMACY</t>
  </si>
  <si>
    <t xml:space="preserve">     ◽ Primary care</t>
  </si>
  <si>
    <t>PRIMARY_CARE</t>
  </si>
  <si>
    <t xml:space="preserve">     ◽ Social care</t>
  </si>
  <si>
    <t>SOCIAL_CARE</t>
  </si>
  <si>
    <t xml:space="preserve">     ◽ Third sector organisations</t>
  </si>
  <si>
    <t>THIRD_SECTOR_ORGANISATIONS</t>
  </si>
  <si>
    <t xml:space="preserve">     ◽ Urgent and emergency</t>
  </si>
  <si>
    <t>URGENT_AND_EMERGENCY</t>
  </si>
  <si>
    <t>What is the main purpose of your innovation?</t>
  </si>
  <si>
    <t xml:space="preserve">We ask this to identify the organisations and people who are in the best position to support you.
(Required)</t>
  </si>
  <si>
    <t>mainPurpose</t>
  </si>
  <si>
    <t>What support are you seeking from the Innovation Service?</t>
  </si>
  <si>
    <t xml:space="preserve">For example, support with clinical trials, product development, real-world evidence, regulatory advice, or adoption.
You will have the opportunity to explain how your innovation works and its benefits later in the record
(Required) (Max 2000 chars)</t>
  </si>
  <si>
    <t>supportDescription</t>
  </si>
  <si>
    <t>Are you currently receiving any support for your innovation?</t>
  </si>
  <si>
    <t xml:space="preserve">This can include any UK funding to support the development of your innovation, or any support you are currently receiving from NHS Innovation Service organisations (opens in a new window).
(Required) (Max 2000 chars)</t>
  </si>
  <si>
    <t>currentlyReceivingSupport</t>
  </si>
  <si>
    <t>Has this innovation received support from any of these programmes?</t>
  </si>
  <si>
    <t>Select all that apply, or select no, if not relevant.</t>
  </si>
  <si>
    <t xml:space="preserve">     ◽ No</t>
  </si>
  <si>
    <t>No</t>
  </si>
  <si>
    <t xml:space="preserve">     ◽ Artificial Intelligence in Health and Care Award</t>
  </si>
  <si>
    <t>Artificial Intelligence in Health and Care Award</t>
  </si>
  <si>
    <t xml:space="preserve">     ◽ Clinical Entrepreneur Programme (CEP)</t>
  </si>
  <si>
    <t>Clinical Entrepreneur Programme (CEP)</t>
  </si>
  <si>
    <t xml:space="preserve">     ◽ Early Access to Medicines Scheme</t>
  </si>
  <si>
    <t>Early Access to Medicines Scheme</t>
  </si>
  <si>
    <t xml:space="preserve">     ◽ Health Innovation Network (HIN)</t>
  </si>
  <si>
    <t>Health Innovation Network (HIN)</t>
  </si>
  <si>
    <t xml:space="preserve">     ◽ Innovation and Technology Payment Programme</t>
  </si>
  <si>
    <t>Innovation and Technology Payment Programme</t>
  </si>
  <si>
    <t xml:space="preserve">     ◽ Innovation for Healthcare Inequalities Programme (InHIP)</t>
  </si>
  <si>
    <t>Innovation for Healthcare Inequalities Programme (InHIP)</t>
  </si>
  <si>
    <t xml:space="preserve">     ◽ Innovative Devices Access Pathway (IDAP)</t>
  </si>
  <si>
    <t>Innovative Devices Access Pathway (IDAP)</t>
  </si>
  <si>
    <t xml:space="preserve">     ◽ Innovative Licensing and Access Pathway (ILAP)</t>
  </si>
  <si>
    <t>Innovative Licensing and Access Pathway (ILAP)</t>
  </si>
  <si>
    <t xml:space="preserve">     ◽ NHS Innovation Accelerator (NIA)</t>
  </si>
  <si>
    <t>NHS Innovation Accelerator (NIA)</t>
  </si>
  <si>
    <t xml:space="preserve">     ◽ NHS Insights Prioritisation Programme</t>
  </si>
  <si>
    <t>NHS Insights Prioritisation Programme</t>
  </si>
  <si>
    <t xml:space="preserve">     ◽ NHS InSites Programme</t>
  </si>
  <si>
    <t>NHS InSites Programme</t>
  </si>
  <si>
    <t xml:space="preserve">     ◽ Pathway Transformation Fund</t>
  </si>
  <si>
    <t>Pathway Transformation Fund</t>
  </si>
  <si>
    <t xml:space="preserve">     ◽ Patient Entrepreneur Programme (PEP)</t>
  </si>
  <si>
    <t>Patient Entrepreneur Programme (PEP)</t>
  </si>
  <si>
    <t xml:space="preserve">     ◽ Rapid Uptake Products Programme</t>
  </si>
  <si>
    <t>Rapid Uptake Products Programme</t>
  </si>
  <si>
    <t xml:space="preserve">     ◽ Small Business Research Initiative for Healthcare (SBRI)</t>
  </si>
  <si>
    <t>Small Business Research Initiative for Healthcare (SBRI)</t>
  </si>
  <si>
    <t xml:space="preserve">     ◽ Test beds</t>
  </si>
  <si>
    <t>Test beds</t>
  </si>
  <si>
    <t>2. Value proposition</t>
  </si>
  <si>
    <t>2.1. Detailed understanding of needs and benefits</t>
  </si>
  <si>
    <t>What problem is your innovation trying to solve?</t>
  </si>
  <si>
    <t xml:space="preserve">Include the current consequences of the problem.
For example, the process of checking a patient's pulse to determine if there is atrial fibrillation using a finger and a watch is inherently inaccurate. Using this method approximately 25% of patients are not referred to secondary care who should be (false negative) and 15% of patients who are referred are referred unnecessarily (false positive). For those patients who are not picked up at this stage, their underlying disease will progress before being correctly diagnosed.
(Required) (Max 1500 chars)</t>
  </si>
  <si>
    <t>problemsTackled</t>
  </si>
  <si>
    <t>Give an overview of how your innovation works</t>
  </si>
  <si>
    <t xml:space="preserve">If this is or might be a medical device, include the intended purpose statement (opens in a new window).
For example, GPs will identify patients with suspected atrial fibrillation from their history and reported symptoms. This innovation is a portable device that patients wear over a 7-day period. The device will monitor the patient’s heart rate continuously whilst they are wearing it. GPs will need to be trained in using the device and interpreting the results. GP practices will need to store the device and consumables.
(Required) (Max 1500 chars)</t>
  </si>
  <si>
    <t>howInnovationWork</t>
  </si>
  <si>
    <t>Do you have a working product, service or prototype?</t>
  </si>
  <si>
    <t>hasProductServiceOrPrototype</t>
  </si>
  <si>
    <t>What are the benefits or impact of your innovation?</t>
  </si>
  <si>
    <t xml:space="preserve">     ◽ Reduces mortality</t>
  </si>
  <si>
    <t>Reduces mortality</t>
  </si>
  <si>
    <t xml:space="preserve">     ◽ Reduces need for further treatment</t>
  </si>
  <si>
    <t>Reduces need for further treatment</t>
  </si>
  <si>
    <t xml:space="preserve">     ◽ Reduces adverse events</t>
  </si>
  <si>
    <t>Reduces adverse events</t>
  </si>
  <si>
    <t xml:space="preserve">     ◽ Enables earlier or more accurate diagnosis</t>
  </si>
  <si>
    <t>Enables earlier or more accurate diagnosis</t>
  </si>
  <si>
    <t xml:space="preserve">     ◽ Reduces risks, side effects or complications</t>
  </si>
  <si>
    <t>Reduces risks, side effects or complications</t>
  </si>
  <si>
    <t xml:space="preserve">     ◽ Prevents a condition occurring or exacerbating</t>
  </si>
  <si>
    <t>Prevents a condition occurring or exacerbating</t>
  </si>
  <si>
    <t xml:space="preserve">     ◽ Avoids a test, procedure or unnecessary treatment</t>
  </si>
  <si>
    <t>Avoids a test, procedure or unnecessary treatment</t>
  </si>
  <si>
    <t xml:space="preserve">     ◽ Enables a test, procedure or treatment to be done non-invasively</t>
  </si>
  <si>
    <t>Enables a test, procedure or treatment to be done non-invasively</t>
  </si>
  <si>
    <t xml:space="preserve">     ◽ Increases self-management</t>
  </si>
  <si>
    <t>Increases self-management</t>
  </si>
  <si>
    <t xml:space="preserve">     ◽ Increases quality of life</t>
  </si>
  <si>
    <t>Increases quality of life</t>
  </si>
  <si>
    <t xml:space="preserve">     ◽ Enables shared care</t>
  </si>
  <si>
    <t>Enables shared care</t>
  </si>
  <si>
    <t xml:space="preserve">     ◽ Alleviates pain</t>
  </si>
  <si>
    <t>Alleviates pain</t>
  </si>
  <si>
    <t xml:space="preserve">     ◽ Other benefits for patients and people</t>
  </si>
  <si>
    <t>Other benefits for patients and people</t>
  </si>
  <si>
    <t xml:space="preserve">     ◽ Reduces the length of stay or enables earlier discharge</t>
  </si>
  <si>
    <t>Reduces the length of stay or enables earlier discharge</t>
  </si>
  <si>
    <t xml:space="preserve">     ◽ Reduces need for adult or paediatric critical care</t>
  </si>
  <si>
    <t>Reduces need for adult or paediatric critical care</t>
  </si>
  <si>
    <t xml:space="preserve">     ◽ Reduces emergency admissions</t>
  </si>
  <si>
    <t>Reduces emergency admissions</t>
  </si>
  <si>
    <t xml:space="preserve">     ◽ Changes delivery of care from secondary care(for example hospitals) to primary care(for example GP or community services)</t>
  </si>
  <si>
    <t>Changes delivery of care from secondary care(for example hospitals) to primary care(for example GP or community services)</t>
  </si>
  <si>
    <t xml:space="preserve">     ◽ Change in delivery of care from inpatient to day case</t>
  </si>
  <si>
    <t>Change in delivery of care from inpatient to day case</t>
  </si>
  <si>
    <t xml:space="preserve">     ◽ Increases compliance</t>
  </si>
  <si>
    <t>Increases compliance</t>
  </si>
  <si>
    <t xml:space="preserve">     ◽ Improves patient management or coordination of care or services</t>
  </si>
  <si>
    <t>Improves patient management or coordination of care or services</t>
  </si>
  <si>
    <t xml:space="preserve">     ◽ Reduces referrals</t>
  </si>
  <si>
    <t>Reduces referrals</t>
  </si>
  <si>
    <t xml:space="preserve">     ◽ Takes less time</t>
  </si>
  <si>
    <t>Takes less time</t>
  </si>
  <si>
    <t xml:space="preserve">     ◽ Uses no staff or a lower grade of staff</t>
  </si>
  <si>
    <t>Uses no staff or a lower grade of staff</t>
  </si>
  <si>
    <t xml:space="preserve">     ◽ Leads to fewer appointments</t>
  </si>
  <si>
    <t>Leads to fewer appointments</t>
  </si>
  <si>
    <t xml:space="preserve">     ◽ Is cost saving</t>
  </si>
  <si>
    <t>Is cost saving</t>
  </si>
  <si>
    <t xml:space="preserve">     ◽ Increases efficiency</t>
  </si>
  <si>
    <t>Increases efficiency</t>
  </si>
  <si>
    <t xml:space="preserve">     ◽ Improves performance</t>
  </si>
  <si>
    <t>Improves performance</t>
  </si>
  <si>
    <t xml:space="preserve">     ◽ Reduces carbon emissions and supports the NHS to achieve net zero</t>
  </si>
  <si>
    <t>Reduces carbon emissions and supports the NHS to achieve net zero</t>
  </si>
  <si>
    <t xml:space="preserve">     ◽ Other environmental benefits</t>
  </si>
  <si>
    <t>Other environmental benefits</t>
  </si>
  <si>
    <t xml:space="preserve">     ◽ Other benefits for the NHS and social care</t>
  </si>
  <si>
    <t>Other benefits for the NHS and social care</t>
  </si>
  <si>
    <t>Does your innovation impact a disease or condition?</t>
  </si>
  <si>
    <t>impactDiseaseCondition</t>
  </si>
  <si>
    <t xml:space="preserve">   ⚠️ CONDITIONAL SECTION: Only answer the question below if you answered 'Yes' for 'Does your innovation impact a disease or condition?'</t>
  </si>
  <si>
    <t>What diseases or conditions does your innovation impact?</t>
  </si>
  <si>
    <t>Start typing to view conditions. You can select as many conditions as you like.</t>
  </si>
  <si>
    <t xml:space="preserve">     ◽ Blood and immune system conditions</t>
  </si>
  <si>
    <t>BLOOD_AND_IMMUNE_SYSTEM_CONDITIONS</t>
  </si>
  <si>
    <t xml:space="preserve">     ◽ Blood and immune system conditions - Allergies</t>
  </si>
  <si>
    <t>BLOOD_AND_IMMUNE_SYSTEM_CONDITIONS_ALLERGIES</t>
  </si>
  <si>
    <t xml:space="preserve">     ◽ Blood and immune system conditions - Anaphylaxis</t>
  </si>
  <si>
    <t>BLOOD_AND_IMMUNE_SYSTEM_CONDITIONS_ANAPHYLAXIS</t>
  </si>
  <si>
    <t xml:space="preserve">     ◽ Blood and immune system conditions - Blood conditions</t>
  </si>
  <si>
    <t>BLOOD_AND_IMMUNE_SYSTEM_CONDITIONS_BLOOD_CONDITIONS</t>
  </si>
  <si>
    <t xml:space="preserve">     ◽ Blood and immune system conditions - Lymphoedema</t>
  </si>
  <si>
    <t>BLOOD_AND_IMMUNE_SYSTEM_CONDITIONS_LYMPHOEDEMA</t>
  </si>
  <si>
    <t xml:space="preserve">     ◽ Blood and immune system conditions - Systemic lupus erythematosus</t>
  </si>
  <si>
    <t>BLOOD_AND_IMMUNE_SYSTEM_CONDITIONS_SYSTEMIC_LUPUS_ERYTHEMATOSUS</t>
  </si>
  <si>
    <t xml:space="preserve">     ◽ Cancer</t>
  </si>
  <si>
    <t>CANCER</t>
  </si>
  <si>
    <t xml:space="preserve">     ◽ Cancer - Bladder cancer</t>
  </si>
  <si>
    <t>CANCER_BLADDER_CANCER</t>
  </si>
  <si>
    <t xml:space="preserve">     ◽ Cancer - Blood and bone marrow cancers</t>
  </si>
  <si>
    <t>CANCER_BLOOD_AND_BONE_MARROW_CANCERS</t>
  </si>
  <si>
    <t xml:space="preserve">     ◽ Cancer - Brain cancers</t>
  </si>
  <si>
    <t>CANCER_BRAIN_CANCERS</t>
  </si>
  <si>
    <t xml:space="preserve">     ◽ Cancer - Breast cancer</t>
  </si>
  <si>
    <t>CANCER_BREAST_CANCER</t>
  </si>
  <si>
    <t xml:space="preserve">     ◽ Cancer - Cervical cancer</t>
  </si>
  <si>
    <t>CANCER_CERVICAL_CANCER</t>
  </si>
  <si>
    <t xml:space="preserve">     ◽ Cancer - Colorectal cancer</t>
  </si>
  <si>
    <t>CANCER_COLORECTAL_CANCER</t>
  </si>
  <si>
    <t xml:space="preserve">     ◽ Cancer - Complications of cancer</t>
  </si>
  <si>
    <t>CANCER_COMPLICATIONS_OF_CANCER</t>
  </si>
  <si>
    <t xml:space="preserve">     ◽ Cancer - Endometrial cancers</t>
  </si>
  <si>
    <t>CANCER_ENDOMETRIAL_CANCERS</t>
  </si>
  <si>
    <t xml:space="preserve">     ◽ Cancer - Head and neck cancers</t>
  </si>
  <si>
    <t>CANCER_HEAD_AND_NECK_CANCERS</t>
  </si>
  <si>
    <t xml:space="preserve">     ◽ Cancer - Liver cancers</t>
  </si>
  <si>
    <t>CANCER_LIVER_CANCERS</t>
  </si>
  <si>
    <t xml:space="preserve">     ◽ Cancer - Lung cancer</t>
  </si>
  <si>
    <t>CANCER_LUNG_CANCER</t>
  </si>
  <si>
    <t xml:space="preserve">     ◽ Cancer - Metastases</t>
  </si>
  <si>
    <t>CANCER_METASTASES</t>
  </si>
  <si>
    <t xml:space="preserve">     ◽ Cancer - Oesophageal cancer</t>
  </si>
  <si>
    <t>CANCER_OESOPHAGEAL_CANCER</t>
  </si>
  <si>
    <t xml:space="preserve">     ◽ Cancer - Ovarian cancer</t>
  </si>
  <si>
    <t>CANCER_OVARIAN_CANCER</t>
  </si>
  <si>
    <t xml:space="preserve">     ◽ Cancer - Pancreatic cancer</t>
  </si>
  <si>
    <t>CANCER_PANCREATIC_CANCER</t>
  </si>
  <si>
    <t xml:space="preserve">     ◽ Cancer - Penile and testicular cancer</t>
  </si>
  <si>
    <t>CANCER_PENILE_AND_TESTICULAR_CANCER</t>
  </si>
  <si>
    <t xml:space="preserve">     ◽ Cancer - Peritoneal cancer</t>
  </si>
  <si>
    <t>CANCER_PERITONEAL_CANCER</t>
  </si>
  <si>
    <t xml:space="preserve">     ◽ Cancer - Prostate cancer</t>
  </si>
  <si>
    <t>CANCER_PROSTATE_CANCER</t>
  </si>
  <si>
    <t xml:space="preserve">     ◽ Cancer - Renal cancer</t>
  </si>
  <si>
    <t>CANCER_RENAL_CANCER</t>
  </si>
  <si>
    <t xml:space="preserve">     ◽ Cancer - Sarcoma</t>
  </si>
  <si>
    <t>CANCER_SARCOMA</t>
  </si>
  <si>
    <t xml:space="preserve">     ◽ Cancer - Skin cancer</t>
  </si>
  <si>
    <t>CANCER_SKIN_CANCER</t>
  </si>
  <si>
    <t xml:space="preserve">     ◽ Cancer - Stomach cancer</t>
  </si>
  <si>
    <t>CANCER_STOMACH_CANCER</t>
  </si>
  <si>
    <t xml:space="preserve">     ◽ Cancer - Thyroid cancer</t>
  </si>
  <si>
    <t>CANCER_THYROID_CANCER</t>
  </si>
  <si>
    <t xml:space="preserve">     ◽ Cancer - Upper airways tract cancers</t>
  </si>
  <si>
    <t>CANCER_UPPER_AIRWAYS_TRACT_CANCERS</t>
  </si>
  <si>
    <t xml:space="preserve">     ◽ Cardiovascular conditions</t>
  </si>
  <si>
    <t>CARDIOVASCULAR_CONDITIONS</t>
  </si>
  <si>
    <t xml:space="preserve">     ◽ Cardiovascular conditions - Acute coronary syndromes</t>
  </si>
  <si>
    <t>CARDIOVASCULAR_CONDITIONS_ACUTE_CORONARY_SYNDROMES</t>
  </si>
  <si>
    <t xml:space="preserve">     ◽ Cardiovascular conditions - Aortic aneurysms</t>
  </si>
  <si>
    <t>CARDIOVASCULAR_CONDITIONS_AORTIC_ANEURYSMS</t>
  </si>
  <si>
    <t xml:space="preserve">     ◽ Cardiovascular conditions - Cranial aneurysms</t>
  </si>
  <si>
    <t>CARDIOVASCULAR_CONDITIONS_CRANIAL_ANEURYSMS</t>
  </si>
  <si>
    <t xml:space="preserve">     ◽ Cardiovascular conditions - Embolism and thrombosis</t>
  </si>
  <si>
    <t>CARDIOVASCULAR_CONDITIONS_EMBOLISM_AND_THROMBOSIS</t>
  </si>
  <si>
    <t xml:space="preserve">     ◽ Cardiovascular conditions - Heart failure</t>
  </si>
  <si>
    <t>CARDIOVASCULAR_CONDITIONS_HEART_FAILURE</t>
  </si>
  <si>
    <t xml:space="preserve">     ◽ Cardiovascular conditions - Heart rhythm conditions</t>
  </si>
  <si>
    <t>CARDIOVASCULAR_CONDITIONS_HEART_RHYTHM_CONDITIONS</t>
  </si>
  <si>
    <t xml:space="preserve">     ◽ Cardiovascular conditions - Hypertension</t>
  </si>
  <si>
    <t>CARDIOVASCULAR_CONDITIONS_HYPERTENSION</t>
  </si>
  <si>
    <t xml:space="preserve">     ◽ Cardiovascular conditions - Peripheral circulatory conditions</t>
  </si>
  <si>
    <t>CARDIOVASCULAR_CONDITIONS_PERIPHERAL_CIRCULATORY_CONDITIONS</t>
  </si>
  <si>
    <t xml:space="preserve">     ◽ Cardiovascular conditions - Stable angina</t>
  </si>
  <si>
    <t>CARDIOVASCULAR_CONDITIONS_STABLE_ANGINA</t>
  </si>
  <si>
    <t xml:space="preserve">     ◽ Cardiovascular conditions - Stroke and transient ischaemic attack</t>
  </si>
  <si>
    <t>CARDIOVASCULAR_CONDITIONS_STROKE_AND_TRANSIENT_ISCHAEMIC_ATTACK</t>
  </si>
  <si>
    <t xml:space="preserve">     ◽ Cardiovascular conditions - Structural heart defects</t>
  </si>
  <si>
    <t>CARDIOVASCULAR_CONDITIONS_STRUCTURAL_HEART_DEFECTS</t>
  </si>
  <si>
    <t xml:space="preserve">     ◽ Cardiovascular conditions - Varicose veins</t>
  </si>
  <si>
    <t>CARDIOVASCULAR_CONDITIONS_VARICOSE_VEINS</t>
  </si>
  <si>
    <t xml:space="preserve">     ◽ Chronic and neuropathic pain</t>
  </si>
  <si>
    <t>CHRONIC_AND_NEUROPATHIC_PAIN</t>
  </si>
  <si>
    <t xml:space="preserve">     ◽ Chronic fatigue syndrome</t>
  </si>
  <si>
    <t>CHRONIC_FATIGUE_SYNDROME</t>
  </si>
  <si>
    <t xml:space="preserve">     ◽ Cystic fibrosis</t>
  </si>
  <si>
    <t>CYSTIC_FIBROSIS</t>
  </si>
  <si>
    <t xml:space="preserve">     ◽ Diabetes and other endocrinal, nutritional and metabolic conditions</t>
  </si>
  <si>
    <t>DIABETES_AND_OTHER_ENDOCRINAL_NUTRITIONAL_AND_METABOLIC_CONDITIONS</t>
  </si>
  <si>
    <t xml:space="preserve">     ◽ Diabetes and other endocrinal, nutritional and metabolic conditions - Adrenal dysfunction</t>
  </si>
  <si>
    <t>DIABETES_AND_OTHER_ENDOCRINAL_NUTRITIONAL_AND_METABOLIC_CONDITIONS_ADRENAL_DYSFUNCTION</t>
  </si>
  <si>
    <t xml:space="preserve">     ◽ Diabetes and other endocrinal, nutritional and metabolic conditions - Diabetes</t>
  </si>
  <si>
    <t>DIABETES_AND_OTHER_ENDOCRINAL_NUTRITIONAL_AND_METABOLIC_CONDITIONS_DIABETES</t>
  </si>
  <si>
    <t xml:space="preserve">     ◽ Diabetes and other endocrinal, nutritional and metabolic conditions - Failure to thrive</t>
  </si>
  <si>
    <t>DIABETES_AND_OTHER_ENDOCRINAL_NUTRITIONAL_AND_METABOLIC_CONDITIONS_FAILURE_TO_THRIVE</t>
  </si>
  <si>
    <t xml:space="preserve">     ◽ Diabetes and other endocrinal, nutritional and metabolic conditions - Lipid disorders</t>
  </si>
  <si>
    <t>DIABETES_AND_OTHER_ENDOCRINAL_NUTRITIONAL_AND_METABOLIC_CONDITIONS_LIPID_DISORDERS</t>
  </si>
  <si>
    <t xml:space="preserve">     ◽ Diabetes and other endocrinal, nutritional and metabolic conditions - Malnutrition</t>
  </si>
  <si>
    <t>DIABETES_AND_OTHER_ENDOCRINAL_NUTRITIONAL_AND_METABOLIC_CONDITIONS_MALNUTRITION</t>
  </si>
  <si>
    <t xml:space="preserve">     ◽ Diabetes and other endocrinal, nutritional and metabolic conditions - Metabolic conditions</t>
  </si>
  <si>
    <t>DIABETES_AND_OTHER_ENDOCRINAL_NUTRITIONAL_AND_METABOLIC_CONDITIONS_METABOLIC_CONDITIONS</t>
  </si>
  <si>
    <t xml:space="preserve">     ◽ Diabetes and other endocrinal, nutritional and metabolic conditions - Obesity</t>
  </si>
  <si>
    <t>DIABETES_AND_OTHER_ENDOCRINAL_NUTRITIONAL_AND_METABOLIC_CONDITIONS_OBESITY</t>
  </si>
  <si>
    <t xml:space="preserve">     ◽ Diabetes and other endocrinal, nutritional and metabolic conditions - Thyroid disorders</t>
  </si>
  <si>
    <t>DIABETES_AND_OTHER_ENDOCRINAL_NUTRITIONAL_AND_METABOLIC_CONDITIONS_THYROID_DISORDERS</t>
  </si>
  <si>
    <t xml:space="preserve">     ◽ Digestive tract conditions</t>
  </si>
  <si>
    <t>DIGESTIVE_TRACT_CONDITIONS</t>
  </si>
  <si>
    <t xml:space="preserve">     ◽ Digestive tract conditions - Cholelithiasis and cholecystitis</t>
  </si>
  <si>
    <t>DIGESTIVE_TRACT_CONDITIONS_CHOLELITHIASIS_AND_CHOLECYSTITIS</t>
  </si>
  <si>
    <t xml:space="preserve">     ◽ Digestive tract conditions - Coeliac disease</t>
  </si>
  <si>
    <t>DIGESTIVE_TRACT_CONDITIONS_COELIAC_DISEASE</t>
  </si>
  <si>
    <t xml:space="preserve">     ◽ Digestive tract conditions - Constipation</t>
  </si>
  <si>
    <t>DIGESTIVE_TRACT_CONDITIONS_CONSTIPATION</t>
  </si>
  <si>
    <t xml:space="preserve">     ◽ Digestive tract conditions - Diarrhoea and vomiting</t>
  </si>
  <si>
    <t>DIGESTIVE_TRACT_CONDITIONS_DIARRHOEA_AND_VOMITING</t>
  </si>
  <si>
    <t xml:space="preserve">     ◽ Digestive tract conditions - Diverticular disease</t>
  </si>
  <si>
    <t>DIGESTIVE_TRACT_CONDITIONS_DIVERTICULAR_DISEASE</t>
  </si>
  <si>
    <t xml:space="preserve">     ◽ Digestive tract conditions - Faecal incontinence</t>
  </si>
  <si>
    <t>DIGESTIVE_TRACT_CONDITIONS_FAECAL_INCONTINENCE</t>
  </si>
  <si>
    <t xml:space="preserve">     ◽ Digestive tract conditions - Gastro-oesophageal reflux, including Barrett's oesophagus</t>
  </si>
  <si>
    <t>DIGESTIVE_TRACT_CONDITIONS_GASTRO_OESOPHAGEAL_REFLUX_INCLUDING_BARRETTS_OESOPHAGUS</t>
  </si>
  <si>
    <t xml:space="preserve">     ◽ Digestive tract conditions - Gastroparesis</t>
  </si>
  <si>
    <t>DIGESTIVE_TRACT_CONDITIONS_GASTROPARESIS</t>
  </si>
  <si>
    <t xml:space="preserve">     ◽ Digestive tract conditions - Haemorrhoids and other anal conditions</t>
  </si>
  <si>
    <t>DIGESTIVE_TRACT_CONDITIONS_HAEMORRHOIDS_AND_OTHER_ANAL_CONDITIONS</t>
  </si>
  <si>
    <t xml:space="preserve">     ◽ Digestive tract conditions - Hernia</t>
  </si>
  <si>
    <t>DIGESTIVE_TRACT_CONDITIONS_HERNIA</t>
  </si>
  <si>
    <t xml:space="preserve">     ◽ Digestive tract conditions - Inflammatory bowel disease</t>
  </si>
  <si>
    <t>DIGESTIVE_TRACT_CONDITIONS_INFLAMMATORY_BOWEL_DISEASE</t>
  </si>
  <si>
    <t xml:space="preserve">     ◽ Digestive tract conditions - Irritable bowel syndrome</t>
  </si>
  <si>
    <t>DIGESTIVE_TRACT_CONDITIONS_IRRITABLE_BOWEL_SYNDROME</t>
  </si>
  <si>
    <t xml:space="preserve">     ◽ Digestive tract conditions - Lower gastrointestinal lesions</t>
  </si>
  <si>
    <t>DIGESTIVE_TRACT_CONDITIONS_LOWER_GASTROINTESTINAL_LESIONS</t>
  </si>
  <si>
    <t xml:space="preserve">     ◽ Digestive tract conditions - Pancreatitis</t>
  </si>
  <si>
    <t>DIGESTIVE_TRACT_CONDITIONS_PANCREATITIS</t>
  </si>
  <si>
    <t xml:space="preserve">     ◽ Digestive tract conditions - Upper gastrointestinal bleeding</t>
  </si>
  <si>
    <t>DIGESTIVE_TRACT_CONDITIONS_UPPER_GASTROINTESTINAL_BLEEDING</t>
  </si>
  <si>
    <t xml:space="preserve">     ◽ Ear, nose and throat conditions</t>
  </si>
  <si>
    <t>EAR_NOSE_AND_THROAT_CONDITIONS</t>
  </si>
  <si>
    <t xml:space="preserve">     ◽ Eye conditions</t>
  </si>
  <si>
    <t>EYE_CONDITIONS</t>
  </si>
  <si>
    <t xml:space="preserve">     ◽ Fertility, pregnancy and childbirth</t>
  </si>
  <si>
    <t>FERTILITY_PREGNANCY_AND_CHILDBIRTH</t>
  </si>
  <si>
    <t xml:space="preserve">     ◽ Fertility, pregnancy and childbirth - Contraception</t>
  </si>
  <si>
    <t>FERTILITY_PREGNANCY_AND_CHILDBIRTH_CONTRACEPTION</t>
  </si>
  <si>
    <t xml:space="preserve">     ◽ Fertility, pregnancy and childbirth - Fertility</t>
  </si>
  <si>
    <t>FERTILITY_PREGNANCY_AND_CHILDBIRTH_FERTILITY</t>
  </si>
  <si>
    <t xml:space="preserve">     ◽ Fertility, pregnancy and childbirth - Intrapartum care</t>
  </si>
  <si>
    <t>FERTILITY_PREGNANCY_AND_CHILDBIRTH_INTRAPARTUM_CARE</t>
  </si>
  <si>
    <t xml:space="preserve">     ◽ Fertility, pregnancy and childbirth - Postnatal care</t>
  </si>
  <si>
    <t>FERTILITY_PREGNANCY_AND_CHILDBIRTH_POSTNATAL_CARE</t>
  </si>
  <si>
    <t xml:space="preserve">     ◽ Fertility, pregnancy and childbirth - Pregnancy</t>
  </si>
  <si>
    <t>FERTILITY_PREGNANCY_AND_CHILDBIRTH_PREGNANCY</t>
  </si>
  <si>
    <t xml:space="preserve">     ◽ Fertility, pregnancy and childbirth - Termination of pregnancy services</t>
  </si>
  <si>
    <t>FERTILITY_PREGNANCY_AND_CHILDBIRTH_TERMINATION_OF_PREGNANCY_SERVICES</t>
  </si>
  <si>
    <t xml:space="preserve">     ◽ Genetic conditions</t>
  </si>
  <si>
    <t>GENETIC_CONDITIONS</t>
  </si>
  <si>
    <t xml:space="preserve">     ◽ Gynaecological conditions</t>
  </si>
  <si>
    <t>GYNAECOLOGICAL_CONDITIONS</t>
  </si>
  <si>
    <t xml:space="preserve">     ◽ Gynaecological conditions - Endometriosis and fibroids</t>
  </si>
  <si>
    <t>GYNAECOLOGICAL_CONDITIONS_ENDOMETRIOSIS_AND_FIBROIDS</t>
  </si>
  <si>
    <t xml:space="preserve">     ◽ Gynaecological conditions - Heavy menstrual bleeding</t>
  </si>
  <si>
    <t>GYNAECOLOGICAL_CONDITIONS_HEAVY_MENSTRUAL_BLEEDING</t>
  </si>
  <si>
    <t xml:space="preserve">     ◽ Gynaecological conditions - Menopause</t>
  </si>
  <si>
    <t>GYNAECOLOGICAL_CONDITIONS_MENOPAUSE</t>
  </si>
  <si>
    <t xml:space="preserve">     ◽ Gynaecological conditions - Uterine prolapse</t>
  </si>
  <si>
    <t>GYNAECOLOGICAL_CONDITIONS_UTERINE_PROLAPSE</t>
  </si>
  <si>
    <t xml:space="preserve">     ◽ Gynaecological conditions - Vaginal conditions</t>
  </si>
  <si>
    <t>GYNAECOLOGICAL_CONDITIONS_VAGINAL_CONDITIONS</t>
  </si>
  <si>
    <t xml:space="preserve">     ◽ Infections</t>
  </si>
  <si>
    <t>INFECTIONS</t>
  </si>
  <si>
    <t xml:space="preserve">     ◽ Infections - Antimicrobial stewardship</t>
  </si>
  <si>
    <t>INFECTIONS_ANTIMICROBIAL_STEWARDSHIP</t>
  </si>
  <si>
    <t xml:space="preserve">     ◽ Infections - Bites and stings</t>
  </si>
  <si>
    <t>INFECTIONS_BITES_AND_STINGS</t>
  </si>
  <si>
    <t xml:space="preserve">     ◽ Infections - COVID-19</t>
  </si>
  <si>
    <t>INFECTIONS_COVID_19</t>
  </si>
  <si>
    <t xml:space="preserve">     ◽ Infections - Feverish illness</t>
  </si>
  <si>
    <t>INFECTIONS_FEVERISH_ILLNESS</t>
  </si>
  <si>
    <t xml:space="preserve">     ◽ Infections - Healthcare-associated infections</t>
  </si>
  <si>
    <t>INFECTIONS_HEALTHCARE_ASSOCIATED_INFECTIONS</t>
  </si>
  <si>
    <t xml:space="preserve">     ◽ Infections - HIV and AIDS</t>
  </si>
  <si>
    <t>INFECTIONS_HIV_AND_AIDS</t>
  </si>
  <si>
    <t xml:space="preserve">     ◽ Infections - Influenza</t>
  </si>
  <si>
    <t>INFECTIONS_INFLUENZA</t>
  </si>
  <si>
    <t xml:space="preserve">     ◽ Infections - Meningitis and meningococcal septicaemia</t>
  </si>
  <si>
    <t>INFECTIONS_MENINGITIS_AND_MENINGOCOCCAL_SEPTICAEMIA</t>
  </si>
  <si>
    <t xml:space="preserve">     ◽ Infections - Sepsis</t>
  </si>
  <si>
    <t>INFECTIONS_SEPSIS</t>
  </si>
  <si>
    <t xml:space="preserve">     ◽ Infections - Skin infections</t>
  </si>
  <si>
    <t>INFECTIONS_SKIN_INFECTIONS</t>
  </si>
  <si>
    <t xml:space="preserve">     ◽ Infections - Tuberculosis</t>
  </si>
  <si>
    <t>INFECTIONS_TUBERCULOSIS</t>
  </si>
  <si>
    <t xml:space="preserve">     ◽ Injuries, accidents and wounds</t>
  </si>
  <si>
    <t>INJURIES_ACCIDENTS_AND_WOUNDS</t>
  </si>
  <si>
    <t xml:space="preserve">     ◽ Kidney conditions</t>
  </si>
  <si>
    <t>KIDNEY_CONDITIONS</t>
  </si>
  <si>
    <t xml:space="preserve">     ◽ Kidney conditions - Acute kidney injury</t>
  </si>
  <si>
    <t>KIDNEY_CONDITIONS_ACUTE_KIDNEY_INJURY</t>
  </si>
  <si>
    <t xml:space="preserve">     ◽ Kidney conditions - Chronic kidney disease</t>
  </si>
  <si>
    <t>KIDNEY_CONDITIONS_CHRONIC_KIDNEY_DISEASE</t>
  </si>
  <si>
    <t xml:space="preserve">     ◽ Kidney conditions - Renal stones</t>
  </si>
  <si>
    <t>KIDNEY_CONDITIONS_RENAL_STONES</t>
  </si>
  <si>
    <t xml:space="preserve">     ◽ Liver conditions</t>
  </si>
  <si>
    <t>LIVER_CONDITIONS</t>
  </si>
  <si>
    <t xml:space="preserve">     ◽ Liver conditions - Chronic liver disease</t>
  </si>
  <si>
    <t>LIVER_CONDITIONS_CHRONIC_LIVER_DISEASE</t>
  </si>
  <si>
    <t xml:space="preserve">     ◽ Liver conditions - Hepatitis</t>
  </si>
  <si>
    <t>LIVER_CONDITIONS_HEPATITIS</t>
  </si>
  <si>
    <t xml:space="preserve">     ◽ Mental health and behavioural conditions</t>
  </si>
  <si>
    <t>MENTAL_HEALTH_AND_BEHAVIOURAL_CONDITIONS</t>
  </si>
  <si>
    <t xml:space="preserve">     ◽ Mental health and behavioural conditions - Addiction</t>
  </si>
  <si>
    <t>MENTAL_HEALTH_AND_BEHAVIOURAL_CONDITIONS_ADDICTION</t>
  </si>
  <si>
    <t xml:space="preserve">     ◽ Mental health and behavioural conditions - Alcohol-use disorders</t>
  </si>
  <si>
    <t>MENTAL_HEALTH_AND_BEHAVIOURAL_CONDITIONS_ALCOHOL_USE_DISORDERS</t>
  </si>
  <si>
    <t xml:space="preserve">     ◽ Mental health and behavioural conditions - Anxiety</t>
  </si>
  <si>
    <t>MENTAL_HEALTH_AND_BEHAVIOURAL_CONDITIONS_ANXIETY</t>
  </si>
  <si>
    <t xml:space="preserve">     ◽ Mental health and behavioural conditions - Attention deficit disorder</t>
  </si>
  <si>
    <t>MENTAL_HEALTH_AND_BEHAVIOURAL_CONDITIONS_ATTENTION_DEFICIT_DISORDER</t>
  </si>
  <si>
    <t xml:space="preserve">     ◽ Mental health and behavioural conditions - Autism</t>
  </si>
  <si>
    <t>MENTAL_HEALTH_AND_BEHAVIOURAL_CONDITIONS_AUTISM</t>
  </si>
  <si>
    <t xml:space="preserve">     ◽ Mental health and behavioural conditions - Bipolar disorder</t>
  </si>
  <si>
    <t>MENTAL_HEALTH_AND_BEHAVIOURAL_CONDITIONS_BIPOLAR_DISORDER</t>
  </si>
  <si>
    <t xml:space="preserve">     ◽ Mental health and behavioural conditions - Delirium</t>
  </si>
  <si>
    <t>MENTAL_HEALTH_AND_BEHAVIOURAL_CONDITIONS_DELIRIUM</t>
  </si>
  <si>
    <t xml:space="preserve">     ◽ Mental health and behavioural conditions - Dementia</t>
  </si>
  <si>
    <t>MENTAL_HEALTH_AND_BEHAVIOURAL_CONDITIONS_DEMENTIA</t>
  </si>
  <si>
    <t xml:space="preserve">     ◽ Mental health and behavioural conditions - Depression</t>
  </si>
  <si>
    <t>MENTAL_HEALTH_AND_BEHAVIOURAL_CONDITIONS_DEPRESSION</t>
  </si>
  <si>
    <t xml:space="preserve">     ◽ Mental health and behavioural conditions - Drug misuse</t>
  </si>
  <si>
    <t>MENTAL_HEALTH_AND_BEHAVIOURAL_CONDITIONS_DRUG_MISUSE</t>
  </si>
  <si>
    <t xml:space="preserve">     ◽ Mental health and behavioural conditions - Eating disorders</t>
  </si>
  <si>
    <t>MENTAL_HEALTH_AND_BEHAVIOURAL_CONDITIONS_EATING_DISORDERS</t>
  </si>
  <si>
    <t xml:space="preserve">     ◽ Mental health and behavioural conditions - Mental health services</t>
  </si>
  <si>
    <t>MENTAL_HEALTH_AND_BEHAVIOURAL_CONDITIONS_MENTAL_HEALTH_SERVICES</t>
  </si>
  <si>
    <t xml:space="preserve">     ◽ Mental health and behavioural conditions - Personality disorders</t>
  </si>
  <si>
    <t>MENTAL_HEALTH_AND_BEHAVIOURAL_CONDITIONS_PERSONALITY_DISORDERS</t>
  </si>
  <si>
    <t xml:space="preserve">     ◽ Mental health and behavioural conditions - Psychosis and schizophrenia</t>
  </si>
  <si>
    <t>MENTAL_HEALTH_AND_BEHAVIOURAL_CONDITIONS_PSYCHOSIS_AND_SCHIZOPHRENIA</t>
  </si>
  <si>
    <t xml:space="preserve">     ◽ Mental health and behavioural conditions - Self-harm</t>
  </si>
  <si>
    <t>MENTAL_HEALTH_AND_BEHAVIOURAL_CONDITIONS_SELF_HARM</t>
  </si>
  <si>
    <t xml:space="preserve">     ◽ Mental health and behavioural conditions - Suicide prevention</t>
  </si>
  <si>
    <t>MENTAL_HEALTH_AND_BEHAVIOURAL_CONDITIONS_SUICIDE_PREVENTION</t>
  </si>
  <si>
    <t xml:space="preserve">     ◽ Multiple long-term conditions</t>
  </si>
  <si>
    <t>MULTIPLE_LONG_TERM_CONDITIONS</t>
  </si>
  <si>
    <t xml:space="preserve">     ◽ Musculoskeletal conditions</t>
  </si>
  <si>
    <t>MUSCULOSKELETAL_CONDITIONS</t>
  </si>
  <si>
    <t xml:space="preserve">     ◽ Musculoskeletal conditions - Arthritis</t>
  </si>
  <si>
    <t>MUSCULOSKELETAL_CONDITIONS_ARTHRITIS</t>
  </si>
  <si>
    <t xml:space="preserve">     ◽ Musculoskeletal conditions - Fractures</t>
  </si>
  <si>
    <t>MUSCULOSKELETAL_CONDITIONS_FRACTURES</t>
  </si>
  <si>
    <t xml:space="preserve">     ◽ Musculoskeletal conditions - Hip conditions</t>
  </si>
  <si>
    <t>MUSCULOSKELETAL_CONDITIONS_HIP_CONDITIONS</t>
  </si>
  <si>
    <t xml:space="preserve">     ◽ Musculoskeletal conditions - Joint replacement</t>
  </si>
  <si>
    <t>MUSCULOSKELETAL_CONDITIONS_JOINT_REPLACEMENT</t>
  </si>
  <si>
    <t xml:space="preserve">     ◽ Musculoskeletal conditions - Knee conditions</t>
  </si>
  <si>
    <t>MUSCULOSKELETAL_CONDITIONS_KNEE_CONDITIONS</t>
  </si>
  <si>
    <t xml:space="preserve">     ◽ Musculoskeletal conditions - Low back pain</t>
  </si>
  <si>
    <t>MUSCULOSKELETAL_CONDITIONS_LOW_BACK_PAIN</t>
  </si>
  <si>
    <t xml:space="preserve">     ◽ Musculoskeletal conditions - Maxillofacial conditions</t>
  </si>
  <si>
    <t>MUSCULOSKELETAL_CONDITIONS_MAXILLOFACIAL_CONDITIONS</t>
  </si>
  <si>
    <t xml:space="preserve">     ◽ Musculoskeletal conditions - Osteoporosis</t>
  </si>
  <si>
    <t>MUSCULOSKELETAL_CONDITIONS_OSTEOPOROSIS</t>
  </si>
  <si>
    <t xml:space="preserve">     ◽ Musculoskeletal conditions - Spinal conditions</t>
  </si>
  <si>
    <t>MUSCULOSKELETAL_CONDITIONS_SPINAL_CONDITIONS</t>
  </si>
  <si>
    <t xml:space="preserve">     ◽ Neurological conditions</t>
  </si>
  <si>
    <t>NEUROLOGICAL_CONDITIONS</t>
  </si>
  <si>
    <t xml:space="preserve">     ◽ Neurological conditions - Epilepsy</t>
  </si>
  <si>
    <t>NEUROLOGICAL_CONDITIONS_EPILEPSY</t>
  </si>
  <si>
    <t xml:space="preserve">     ◽ Neurological conditions - Headaches</t>
  </si>
  <si>
    <t>NEUROLOGICAL_CONDITIONS_HEADACHES</t>
  </si>
  <si>
    <t xml:space="preserve">     ◽ Neurological conditions - Metastatic spinal cord compression</t>
  </si>
  <si>
    <t>NEUROLOGICAL_CONDITIONS_METASTATIC_SPINAL_CORD_COMPRESSION</t>
  </si>
  <si>
    <t xml:space="preserve">     ◽ Neurological conditions - Motor neurone disease</t>
  </si>
  <si>
    <t>NEUROLOGICAL_CONDITIONS_MOTOR_NEURONE_DISEASE</t>
  </si>
  <si>
    <t xml:space="preserve">     ◽ Neurological conditions - Multiple sclerosis</t>
  </si>
  <si>
    <t>NEUROLOGICAL_CONDITIONS_MULTIPLE_SCLEROSIS</t>
  </si>
  <si>
    <t xml:space="preserve">     ◽ Neurological conditions - Parkinson's disease, tremor and dystonia</t>
  </si>
  <si>
    <t>NEUROLOGICAL_CONDITIONS_PARKINSONS_DISEASE_TREMOR_AND_DYSTONIA</t>
  </si>
  <si>
    <t xml:space="preserve">     ◽ Neurological conditions - Spasticity</t>
  </si>
  <si>
    <t>NEUROLOGICAL_CONDITIONS_SPASTICITY</t>
  </si>
  <si>
    <t xml:space="preserve">     ◽ Neurological conditions - Transient loss of consciousness</t>
  </si>
  <si>
    <t>NEUROLOGICAL_CONDITIONS_TRANSIENT_LOSS_OF_CONSCIOUSNESS</t>
  </si>
  <si>
    <t xml:space="preserve">     ◽ Oral and dental health</t>
  </si>
  <si>
    <t>ORAL_AND_DENTAL_HEALTH</t>
  </si>
  <si>
    <t xml:space="preserve">     ◽ Rare conditions</t>
  </si>
  <si>
    <t>RARE_CONDITIONS</t>
  </si>
  <si>
    <t xml:space="preserve">     ◽ Respiratory conditions</t>
  </si>
  <si>
    <t>RESPIRATORY_CONDITIONS</t>
  </si>
  <si>
    <t xml:space="preserve">     ◽ Respiratory conditions - Asthma</t>
  </si>
  <si>
    <t>RESPIRATORY_CONDITIONS_ASTHMA</t>
  </si>
  <si>
    <t xml:space="preserve">     ◽ Respiratory conditions - Chronic obstructive pulmonary disease</t>
  </si>
  <si>
    <t>RESPIRATORY_CONDITIONS_CHRONIC_OBSTRUCTIVE_PULMONARY_DISEASE</t>
  </si>
  <si>
    <t xml:space="preserve">     ◽ Respiratory conditions - Cystic fibrosis</t>
  </si>
  <si>
    <t>RESPIRATORY_CONDITIONS_CYSTIC_FIBROSIS</t>
  </si>
  <si>
    <t xml:space="preserve">     ◽ Respiratory conditions - Mesothelioma</t>
  </si>
  <si>
    <t>RESPIRATORY_CONDITIONS_MESOTHELIOMA</t>
  </si>
  <si>
    <t xml:space="preserve">     ◽ Respiratory conditions - Pneumonia</t>
  </si>
  <si>
    <t>RESPIRATORY_CONDITIONS_PNEUMONIA</t>
  </si>
  <si>
    <t xml:space="preserve">     ◽ Respiratory conditions - Pulmonary fibrosis</t>
  </si>
  <si>
    <t>RESPIRATORY_CONDITIONS_PULMONARY_FIBROSIS</t>
  </si>
  <si>
    <t xml:space="preserve">     ◽ Respiratory conditions - Respiratory infections</t>
  </si>
  <si>
    <t>RESPIRATORY_CONDITIONS_RESPIRATORY_INFECTIONS</t>
  </si>
  <si>
    <t xml:space="preserve">     ◽ Skin conditions</t>
  </si>
  <si>
    <t>SKIN_CONDITIONS</t>
  </si>
  <si>
    <t xml:space="preserve">     ◽ Skin conditions - Acne</t>
  </si>
  <si>
    <t>SKIN_CONDITIONS_ACNE</t>
  </si>
  <si>
    <t xml:space="preserve">     ◽ Skin conditions - Diabetic foot</t>
  </si>
  <si>
    <t>SKIN_CONDITIONS_DIABETIC_FOOT</t>
  </si>
  <si>
    <t xml:space="preserve">     ◽ Skin conditions - Eczema</t>
  </si>
  <si>
    <t>SKIN_CONDITIONS_ECZEMA</t>
  </si>
  <si>
    <t xml:space="preserve">     ◽ Skin conditions - Pressure ulcers</t>
  </si>
  <si>
    <t>SKIN_CONDITIONS_PRESSURE_ULCERS</t>
  </si>
  <si>
    <t xml:space="preserve">     ◽ Skin conditions - Psoriasis</t>
  </si>
  <si>
    <t>SKIN_CONDITIONS_PSORIASIS</t>
  </si>
  <si>
    <t xml:space="preserve">     ◽ Skin conditions - Wound management</t>
  </si>
  <si>
    <t>SKIN_CONDITIONS_WOUND_MANAGEMENT</t>
  </si>
  <si>
    <t xml:space="preserve">     ◽ Sleep and sleep conditions</t>
  </si>
  <si>
    <t>SLEEP_AND_SLEEP_CONDITIONS</t>
  </si>
  <si>
    <t xml:space="preserve">     ◽ Urological conditions</t>
  </si>
  <si>
    <t>UROLOGICAL_CONDITIONS</t>
  </si>
  <si>
    <t xml:space="preserve">     ◽ Urological conditions - Lower urinary tract symptoms</t>
  </si>
  <si>
    <t>UROLOGICAL_CONDITIONS_LOWER_URINARY_TRACT_SYMPTOMS</t>
  </si>
  <si>
    <t xml:space="preserve">     ◽ Urological conditions - Urinary incontinence</t>
  </si>
  <si>
    <t>UROLOGICAL_CONDITIONS_URINARY_INCONTINENCE</t>
  </si>
  <si>
    <t xml:space="preserve">     ◽ Urological conditions - Urinary tract infection</t>
  </si>
  <si>
    <t>UROLOGICAL_CONDITIONS_URINARY_TRACT_INFECTION</t>
  </si>
  <si>
    <t>Have you estimated the carbon reduction or savings that your innovation will bring?</t>
  </si>
  <si>
    <t xml:space="preserve">All NHS suppliers will be expected to provide the carbon footprint associated with the use of their innovation, as outlined in the Delivering a Net Zero NHS report (opens in a new window).
If this is something you are unsure of, the NHS Innovation Service can support you with this.
(Required)</t>
  </si>
  <si>
    <t>estimatedCarbonReductionSavings</t>
  </si>
  <si>
    <t xml:space="preserve">   ⚠️ CONDITIONAL SECTION: Only answer the question below if you answered 'Yes' for 'Have you estimated the carbon reduction or savings that your innovation will bring?'</t>
  </si>
  <si>
    <t>Provide the estimates and how this was calculated</t>
  </si>
  <si>
    <t>(Required) (Max 2000 chars)</t>
  </si>
  <si>
    <t>estimatedCarbonReductionSavingsDescriptionA</t>
  </si>
  <si>
    <t xml:space="preserve">   ⚠️ CONDITIONAL SECTION: Only answer the question below if you answered 'Not yet, but I have an idea' for 'Have you estimated the carbon reduction or savings that your innovation will bring?'</t>
  </si>
  <si>
    <t>Explain how you plan to calculate carbon reduction savings</t>
  </si>
  <si>
    <t>estimatedCarbonReductionSavingsDescriptionB</t>
  </si>
  <si>
    <t>Do you have or are you working on a carbon reduction plan (CRP)?</t>
  </si>
  <si>
    <t xml:space="preserve">All NHS suppliers will require a carbon reduction plan (CRP), as outlined in the NHS Suppliers Roadmap plan (opens in a new window).
(Required)</t>
  </si>
  <si>
    <t>carbonReductionPlan</t>
  </si>
  <si>
    <t>Which key health inequalities does your innovation impact?</t>
  </si>
  <si>
    <t xml:space="preserve">Core20PLUS5 is a national NHS England approach to support the reduction of health inequalities, defining target populations and clinical areas that require improvement.
More information is available on the Core20PLUS5 web page (opens in a new window).</t>
  </si>
  <si>
    <t xml:space="preserve">     ◽ Maternity</t>
  </si>
  <si>
    <t>MATERNITY</t>
  </si>
  <si>
    <t xml:space="preserve">     ◽ Severe mental illness</t>
  </si>
  <si>
    <t>SEVER_MENTAL_ILLNESS</t>
  </si>
  <si>
    <t xml:space="preserve">     ◽ Chronic respiratory disease</t>
  </si>
  <si>
    <t>CHRONIC_RESPIRATORY_DISEASE</t>
  </si>
  <si>
    <t xml:space="preserve">     ◽ Early cancer diagnosis</t>
  </si>
  <si>
    <t>EARLY_CANCER_DIAGNOSIS</t>
  </si>
  <si>
    <t xml:space="preserve">     ◽ Hypertension case finding and optimal management and lipid optimal management</t>
  </si>
  <si>
    <t>HYPERTENSION_CASE_FINDING</t>
  </si>
  <si>
    <t>Have you completed a health inequalities impact assessment?</t>
  </si>
  <si>
    <t xml:space="preserve">By this, we mean a document or template which assesses the impact of your innovation on health inequalities and on those with protected characteristics. Health inequalities are the unfair and avoidable differences in health across the population, and between different groups within society.
An example of a completed health inequalities impact assessment can be found on NHS England's web page (opens in a new window).
(Required)</t>
  </si>
  <si>
    <t>completedHealthInequalitiesImpactAssessment</t>
  </si>
  <si>
    <t>2.2. Evidence of impact and benefit</t>
  </si>
  <si>
    <t>Do you have any evidence to show the impact or benefits of your innovation?</t>
  </si>
  <si>
    <t xml:space="preserve">You'll have the opportunity to add evidence at the end of this section.
(Required)</t>
  </si>
  <si>
    <t>hasEvidence</t>
  </si>
  <si>
    <t>Are you currently collecting evidence, or have plans to collect evidence?</t>
  </si>
  <si>
    <t>currentlyCollectingEvidence</t>
  </si>
  <si>
    <t xml:space="preserve">   ⚠️ CONDITIONAL SECTION: Only answer the question below if you answered 'Yes' for 'Are you currently collecting evidence, or have plans to collect evidence?'</t>
  </si>
  <si>
    <t>Write a short summary of your ongoing or planned evidence gathering, including the IRAS number if known.</t>
  </si>
  <si>
    <t xml:space="preserve">An IRAS ID is a unique identifier, which is generated by IRAS when you first create a project. It is the accepted common study identifier, allowing research to be traced across its study lifecycle. For more information visit the IRAS website (opens in a new window).
(Required) (Max 1500 chars)</t>
  </si>
  <si>
    <t>summaryOngoingEvidenceGathering</t>
  </si>
  <si>
    <t>Do you need support with any of these areas?</t>
  </si>
  <si>
    <t xml:space="preserve">     ◽ Research governance, including research ethics approvals</t>
  </si>
  <si>
    <t>RESEARCH_GOVERNANCE</t>
  </si>
  <si>
    <t xml:space="preserve">     ◽ Accessing and sharing health and care data</t>
  </si>
  <si>
    <t>DATA_SHARING</t>
  </si>
  <si>
    <t xml:space="preserve">     ◽ Use of confidential patient data</t>
  </si>
  <si>
    <t>CONFIDENTIAL_PATIENT_DATA</t>
  </si>
  <si>
    <t xml:space="preserve">     ◽ Approval of data studies</t>
  </si>
  <si>
    <t>APPROVAL_DATA_STUDIES</t>
  </si>
  <si>
    <t xml:space="preserve">     ◽ Understanding the laws that regulate the use of health and care data</t>
  </si>
  <si>
    <t>UNDERSTANDING_LAWS</t>
  </si>
  <si>
    <t xml:space="preserve">     ◽ No, I do not need support</t>
  </si>
  <si>
    <t>DO_NOT_NEED_SUPPORT</t>
  </si>
  <si>
    <t>3. Market research and current care pathway</t>
  </si>
  <si>
    <t>3.1. Market research</t>
  </si>
  <si>
    <t>Have you conducted market research to determine the demand and need for your innovation in the UK?</t>
  </si>
  <si>
    <t xml:space="preserve">By this, we mean any research you have done to determine the market opportunity for your innovation. You will be able to explain any testing you have done with users later in the record.
(Required)</t>
  </si>
  <si>
    <t>hasMarketResearch</t>
  </si>
  <si>
    <t xml:space="preserve">   ⚠️ CONDITIONAL SECTION: Only answer the question below if you answered 'Yes' or 'I'm currently doing market research' for 'Have you conducted market research to determine the demand and need for your innovation in the UK?'</t>
  </si>
  <si>
    <t>Describe the market research you have done, or are doing, within the UK market</t>
  </si>
  <si>
    <t xml:space="preserve">This could include a mix of interviews, focus groups, patient record forms, surveys, ethnography, or other market research methods.
(Required) (Max 1500 chars)</t>
  </si>
  <si>
    <t>marketResearch</t>
  </si>
  <si>
    <t>Which option best describes your innovation?</t>
  </si>
  <si>
    <t>optionBestDescribesInnovation</t>
  </si>
  <si>
    <t>What competitors or alternatives exist, or how is the problem addressed in current practice?</t>
  </si>
  <si>
    <t xml:space="preserve">Include how your innovation is different to the alternatives in the market.
(Required) (Max 1500 chars)</t>
  </si>
  <si>
    <t>whatCompetitorsAlternativesExist</t>
  </si>
  <si>
    <t>3.2. Current care pathway</t>
  </si>
  <si>
    <t>Does your innovation relate to a current NHS care pathway?</t>
  </si>
  <si>
    <t xml:space="preserve">An NHS care pathway outlines the entire patient journey and the actions taken in different parts of the healthcare system. It's key to understand the existing routines of clinical and care professionals, administrators and others who will be impacted by your innovation.
If your innovation does not play a role in the delivery of care, select "does not form part of a care pathway".
(Required)</t>
  </si>
  <si>
    <t>innovationPathwayKnowledge</t>
  </si>
  <si>
    <t xml:space="preserve">   ⚠️ CONDITIONAL SECTION: Only answer the question below if you answered 'There is a pathway, and my innovation changes it' or 'There is a pathway, and my innovation fits in to it' or 'There is no current care pathway' for 'Does your innovation relate to a current NHS care pathway?'</t>
  </si>
  <si>
    <t>Describe the potential care pathway with your innovation in use</t>
  </si>
  <si>
    <t xml:space="preserve">Focus on any areas that will be impacted by introducing your innovation to the care pathway.
(Required) (Max 1000 chars)</t>
  </si>
  <si>
    <t>potentialPathway</t>
  </si>
  <si>
    <t>4. Testing with users</t>
  </si>
  <si>
    <t>4.1. Testing with users</t>
  </si>
  <si>
    <t>Have you involved users in the design process?</t>
  </si>
  <si>
    <t xml:space="preserve">This includes involving patients or the public, carers, clinicians or administrators in the design process, including people with different accessibility needs.
(Required)</t>
  </si>
  <si>
    <t>involvedUsersDesignProcess</t>
  </si>
  <si>
    <t>Have you tested your innovation with its intended users in a real life setting?</t>
  </si>
  <si>
    <t xml:space="preserve">Do not include any testing you have done with users in a controlled setting.
(Required)</t>
  </si>
  <si>
    <t>testedWithIntendedUsers</t>
  </si>
  <si>
    <t xml:space="preserve">   ⚠️ CONDITIONAL SECTION: Only answer the question below if you answered 'Yes' or 'I am in the process of testing with users' for 'Have you tested your innovation with its intended users in a real life setting?'</t>
  </si>
  <si>
    <t>Which groups of intended users have you engaged with?</t>
  </si>
  <si>
    <t xml:space="preserve">     ◽ Clinical or social care professionals working in the UK health and social care system</t>
  </si>
  <si>
    <t>CLINICAL_SOCIAL_CARE_WORKING_INSIDE_UK</t>
  </si>
  <si>
    <t xml:space="preserve">     ◽ Clinical or social care professionals working outside the UK</t>
  </si>
  <si>
    <t>CLINICAL_SOCIAL_CARE_WORKING_OUTSIDE_UK</t>
  </si>
  <si>
    <t xml:space="preserve">     ◽ Non-clinical healthcare staff</t>
  </si>
  <si>
    <t>NON_CLINICAL_HEALTHCARE</t>
  </si>
  <si>
    <t xml:space="preserve">     ◽ Patients</t>
  </si>
  <si>
    <t>PATIENTS</t>
  </si>
  <si>
    <t xml:space="preserve">     ◽ Service users</t>
  </si>
  <si>
    <t>SERVICE_USERS</t>
  </si>
  <si>
    <t xml:space="preserve">     ◽ Carers</t>
  </si>
  <si>
    <t>CARERS</t>
  </si>
  <si>
    <t>What kind of testing with users have you done?</t>
  </si>
  <si>
    <t>This can include any testing you have done with people who would use your innovation, for example patients, nurses or administrative staff.</t>
  </si>
  <si>
    <t>userTests</t>
  </si>
  <si>
    <t xml:space="preserve">   1. User test:</t>
  </si>
  <si>
    <t>Provide a brief summary of the method and key findings. You can upload any documents that showcase your user testing next.</t>
  </si>
  <si>
    <t xml:space="preserve">   2. User test:</t>
  </si>
  <si>
    <t xml:space="preserve">   3. User test:</t>
  </si>
  <si>
    <t xml:space="preserve">   4. User test:</t>
  </si>
  <si>
    <t xml:space="preserve">   5. User test:</t>
  </si>
  <si>
    <t>5. Regulations, standards, certifications and intellectual property</t>
  </si>
  <si>
    <t>5.1. Regulatory approvals, standards and certifications</t>
  </si>
  <si>
    <t>Do you know which regulations, standards and certifications apply to your innovation?</t>
  </si>
  <si>
    <t xml:space="preserve">Find out more about regulations (opens in a new window).
(Required)</t>
  </si>
  <si>
    <t>hasRegulationKnowledge</t>
  </si>
  <si>
    <t xml:space="preserve">   ⚠️ CONDITIONAL SECTION: Only answer the question below if you answered 'Yes, I know all of them' or 'Yes, I know some of them' for 'Do you know which regulations, standards and certifications apply to your innovation?'</t>
  </si>
  <si>
    <t>Which regulations, standards and certifications apply to your innovation?</t>
  </si>
  <si>
    <t>Find out more about UKCA / CE marking (opens in a new window), CQC registration (opens in a new window), or DTAC (opens in a new window).</t>
  </si>
  <si>
    <t xml:space="preserve">     ◽ Non-medical device</t>
  </si>
  <si>
    <t xml:space="preserve">      Do you have a certification for Non-medical device
(⚠️ Answer only if Selected):</t>
  </si>
  <si>
    <t>CE_UKCA_NON_MEDICAL</t>
  </si>
  <si>
    <t xml:space="preserve">     ◽ Class I medical device</t>
  </si>
  <si>
    <t xml:space="preserve">      Do you have a certification for Class I medical device
(⚠️ Answer only if Selected):</t>
  </si>
  <si>
    <t>CE_UKCA_CLASS_I</t>
  </si>
  <si>
    <t xml:space="preserve">     ◽ Class IIa medical device</t>
  </si>
  <si>
    <t xml:space="preserve">      Do you have a certification for Class IIa medical device
(⚠️ Answer only if Selected):</t>
  </si>
  <si>
    <t>CE_UKCA_CLASS_II_A</t>
  </si>
  <si>
    <t xml:space="preserve">     ◽ Class IIb medical device</t>
  </si>
  <si>
    <t xml:space="preserve">      Do you have a certification for Class IIb medical device
(⚠️ Answer only if Selected):</t>
  </si>
  <si>
    <t>CE_UKCA_CLASS_II_B</t>
  </si>
  <si>
    <t xml:space="preserve">     ◽ Class III medical device</t>
  </si>
  <si>
    <t xml:space="preserve">      Do you have a certification for Class III medical device
(⚠️ Answer only if Selected):</t>
  </si>
  <si>
    <t>CE_UKCA_CLASS_III</t>
  </si>
  <si>
    <t xml:space="preserve">     ◽ IVD general</t>
  </si>
  <si>
    <t xml:space="preserve">      Do you have a certification for IVD general
(⚠️ Answer only if Selected):</t>
  </si>
  <si>
    <t>IVD_GENERAL</t>
  </si>
  <si>
    <t xml:space="preserve">     ◽ IVD self-test</t>
  </si>
  <si>
    <t xml:space="preserve">      Do you have a certification for IVD self-test
(⚠️ Answer only if Selected):</t>
  </si>
  <si>
    <t>IVD_SELF_TEST</t>
  </si>
  <si>
    <t xml:space="preserve">     ◽ IVD Annex II List A</t>
  </si>
  <si>
    <t xml:space="preserve">      Do you have a certification for IVD Annex II List A
(⚠️ Answer only if Selected):</t>
  </si>
  <si>
    <t>IVD_ANNEX_LIST_A</t>
  </si>
  <si>
    <t xml:space="preserve">     ◽ IVD Annex II List B</t>
  </si>
  <si>
    <t xml:space="preserve">      Do you have a certification for IVD Annex II List B
(⚠️ Answer only if Selected):</t>
  </si>
  <si>
    <t>IVD_ANNEX_LIST_B</t>
  </si>
  <si>
    <t xml:space="preserve">     ◽ Marketing authorisation for medicines</t>
  </si>
  <si>
    <t xml:space="preserve">      Do you have a certification for Marketing authorisation for medicines
(⚠️ Answer only if Selected):</t>
  </si>
  <si>
    <t>MARKETING</t>
  </si>
  <si>
    <t xml:space="preserve">     ◽ Care Quality Commission (CQC) registration, as I am providing a regulated activity</t>
  </si>
  <si>
    <t xml:space="preserve">      Do you have a certification for Care Quality Commission (CQC) registration, as I am providing a regulated activity
(⚠️ Answer only if Selected):</t>
  </si>
  <si>
    <t>CQC</t>
  </si>
  <si>
    <t xml:space="preserve">     ◽ Digital Technology Assessment Criteria (DTAC)</t>
  </si>
  <si>
    <t xml:space="preserve">      Do you have a certification for Digital Technology Assessment Criteria (DTAC)
(⚠️ Answer only if Selected):</t>
  </si>
  <si>
    <t>DTAC</t>
  </si>
  <si>
    <t xml:space="preserve">      Do you have a certification for Other
(⚠️ Answer only if Selected):</t>
  </si>
  <si>
    <t>5.2. Intellectual property</t>
  </si>
  <si>
    <t>Do you have any patents for your innovation?</t>
  </si>
  <si>
    <t>hasPatents</t>
  </si>
  <si>
    <t xml:space="preserve">   └─ Patent number(s)
(⚠️ Only answer if you selected 'I have one or more patents' above)</t>
  </si>
  <si>
    <t>patentNumbers</t>
  </si>
  <si>
    <t>Do you have any other intellectual property for your innovation?</t>
  </si>
  <si>
    <t xml:space="preserve">Find out more about intellectual property (opens in a new window).
(Required)</t>
  </si>
  <si>
    <t>hasOtherIntellectual</t>
  </si>
  <si>
    <t xml:space="preserve">   └─ Type of intellectual property
(⚠️ Only answer if you selected 'Yes' above)</t>
  </si>
  <si>
    <t>otherIntellectual</t>
  </si>
  <si>
    <t>6. Revenue model</t>
  </si>
  <si>
    <t>6.1. Revenue model</t>
  </si>
  <si>
    <t>Do you have a model for generating revenue from your innovation?</t>
  </si>
  <si>
    <t>hasRevenueModel</t>
  </si>
  <si>
    <t xml:space="preserve">   ⚠️ CONDITIONAL SECTION: Only answer the question below if you answered 'Yes' for 'Do you have a model for generating revenue from your innovation?'</t>
  </si>
  <si>
    <t>What is the revenue model for your innovation?</t>
  </si>
  <si>
    <t xml:space="preserve">     ◽ Advertising</t>
  </si>
  <si>
    <t>ADVERTISING</t>
  </si>
  <si>
    <t xml:space="preserve">     ◽ Direct product sales</t>
  </si>
  <si>
    <t>DIRECT_PRODUCT_SALES</t>
  </si>
  <si>
    <t xml:space="preserve">     ◽ Fee for service</t>
  </si>
  <si>
    <t>FEE_FOR_SERVICE</t>
  </si>
  <si>
    <t xml:space="preserve">     ◽ Lease</t>
  </si>
  <si>
    <t>LEASE</t>
  </si>
  <si>
    <t xml:space="preserve">     ◽ Sales of consumables or accessories</t>
  </si>
  <si>
    <t>SALES_OF_CONSUMABLES_OR_ACCESSORIES</t>
  </si>
  <si>
    <t xml:space="preserve">     ◽ Subscription</t>
  </si>
  <si>
    <t>SUBSCRIPTION</t>
  </si>
  <si>
    <t>Which NHS or social care organisation and department do you think would pay for the innovation?</t>
  </si>
  <si>
    <t xml:space="preserve">Be as specific as you can.
(Required) (Max 1000 chars)</t>
  </si>
  <si>
    <t>payingOrganisations</t>
  </si>
  <si>
    <t>Which NHS or social care organisation and department would benefit from the innovation?</t>
  </si>
  <si>
    <t>benefittingOrganisations</t>
  </si>
  <si>
    <t>Have you secured funding for the next stage of development?</t>
  </si>
  <si>
    <t>hasFunding</t>
  </si>
  <si>
    <t xml:space="preserve">   ⚠️ CONDITIONAL SECTION: Only answer the question below if you answered 'Yes' for 'Have you secured funding for the next stage of development?'</t>
  </si>
  <si>
    <t>Describe the funding you have secured for the next stage of development</t>
  </si>
  <si>
    <t xml:space="preserve">For example, venture capital, angel investor, seed funding, grant funding, government funding or similar.
(Required) (Max 500 chars)</t>
  </si>
  <si>
    <t>fundingDescription</t>
  </si>
  <si>
    <t>7. Cost and savings</t>
  </si>
  <si>
    <t>7.1. Cost of your innovation</t>
  </si>
  <si>
    <t>Do you know the cost of your innovation?</t>
  </si>
  <si>
    <t xml:space="preserve">By cost, we mean the cost to the NHS or any care organisation that would implement your innovation. Support organisations will use this to calculate cost effectiveness.
(Required)</t>
  </si>
  <si>
    <t>hasCostKnowledge</t>
  </si>
  <si>
    <t xml:space="preserve">   ⚠️ CONDITIONAL SECTION: Only answer the question below if you answered 'Yes, I have a detailed estimate' or 'Yes, I have a rough idea' for 'Do you know the cost of your innovation?'</t>
  </si>
  <si>
    <t>What is the cost of your innovation?</t>
  </si>
  <si>
    <t xml:space="preserve">Include the relevant metric such as a flat capital cost or cost per patient, cost per unit or cost per procedure. Include any costs associated with implementation and resources.
For example, £10 based on 500 units per site. £345 per procedure and a typical patient requires two procedures.
(Required) (Max 1000 chars)</t>
  </si>
  <si>
    <t>costDescription</t>
  </si>
  <si>
    <t>Roughly how many patients would be eligible for your innovation in the UK?</t>
  </si>
  <si>
    <t>patientsRange</t>
  </si>
  <si>
    <t xml:space="preserve">   ⚠️ CONDITIONAL SECTION: Only answer the question below if you answered 'Up to 10,000 per year' or '10,000 to half a million per year' or 'I am not sure' for 'Roughly how many patients would be eligible for your innovation in the UK?'</t>
  </si>
  <si>
    <t>What is the eligibility criteria for your innovation?</t>
  </si>
  <si>
    <t xml:space="preserve">For example, users need to be over a certain age, or have a certain medical history or current health status.
Answer "not relevant" if your innovation does not have any eligibility criteria.
(Required) (Max 1000 chars)</t>
  </si>
  <si>
    <t>eligibilityCriteria</t>
  </si>
  <si>
    <t>How many units of your innovation would you expect to sell in the UK per year?</t>
  </si>
  <si>
    <t>(Required) (Max 500 chars)</t>
  </si>
  <si>
    <t>sellExpectations</t>
  </si>
  <si>
    <t>Approximately how long do you expect each unit of your innovation to be in use?</t>
  </si>
  <si>
    <t xml:space="preserve">By this we mean the shelf life of the product, or the product's lifespan. This can include the lifespan of any components such as batteries.
(Required) (Max 1000 chars)</t>
  </si>
  <si>
    <t>usageExpectations</t>
  </si>
  <si>
    <t>What are the costs associated with the use of your innovation, compared to current practice in the UK?</t>
  </si>
  <si>
    <t>costComparison</t>
  </si>
  <si>
    <t>8. Deployment</t>
  </si>
  <si>
    <t>8.1. Deployment</t>
  </si>
  <si>
    <t>Is your innovation ready for wider adoption across the health and care system?</t>
  </si>
  <si>
    <t xml:space="preserve">Find out more about commissioning and adoption (opens in a new window).
(Required)</t>
  </si>
  <si>
    <t>hasDeployPlan</t>
  </si>
  <si>
    <t>Has your innovation been deployed in a NHS or care setting?</t>
  </si>
  <si>
    <t>isDeployed</t>
  </si>
  <si>
    <t xml:space="preserve">   ⚠️ CONDITIONAL SECTION: Only answer the question below if you answered 'Yes' for 'Has your innovation been deployed in a NHS or care setting?'</t>
  </si>
  <si>
    <t>Where have you deployed your innovation?</t>
  </si>
  <si>
    <t>Provide the name of the organisation and the department, if possible.</t>
  </si>
  <si>
    <t>deploymentPlans</t>
  </si>
  <si>
    <t xml:space="preserve">   1. Organisation and department:</t>
  </si>
  <si>
    <t xml:space="preserve">   2. Organisation and department:</t>
  </si>
  <si>
    <t xml:space="preserve">   3. Organisation and department:</t>
  </si>
  <si>
    <t xml:space="preserve">   4. Organisation and department:</t>
  </si>
  <si>
    <t xml:space="preserve">   5. Organisation and department:</t>
  </si>
  <si>
    <t>What was the commercial basis for deployment?</t>
  </si>
  <si>
    <t xml:space="preserve">For example, did you provide your innovation for free or was it purchased? Or was it part funded by yourself and the NHS area in which it's being deployed?
(Required) (Max 2000 chars)</t>
  </si>
  <si>
    <t>commercialBasis</t>
  </si>
  <si>
    <t>How did the deployment of your innovation affect the organisation(s)?</t>
  </si>
  <si>
    <t xml:space="preserve">For example, which job roles were affected and how was the care pathway redesigned?
(Required) (Max 2000 chars)</t>
  </si>
  <si>
    <t>organisationDeploymentAffect</t>
  </si>
  <si>
    <t>Does your team have the resources for scaling up to national deployment?</t>
  </si>
  <si>
    <t xml:space="preserve">This includes having a team with the right combination of skills and knowledge.
(Required)</t>
  </si>
  <si>
    <t>hasResourcesToScale</t>
  </si>
  <si>
    <t>England</t>
  </si>
  <si>
    <t>Afghanistan</t>
  </si>
  <si>
    <t>Yes</t>
  </si>
  <si>
    <t>YES</t>
  </si>
  <si>
    <t>Medical device</t>
  </si>
  <si>
    <t>Preventing a condition or symptom from happening or worsening</t>
  </si>
  <si>
    <t>PREVENT_CONDITION</t>
  </si>
  <si>
    <t>Yes, I have one</t>
  </si>
  <si>
    <t>A one-off innovation, or the first of its kind</t>
  </si>
  <si>
    <t>ONE_OFF_INNOVATION</t>
  </si>
  <si>
    <t>There is a pathway, and my innovation changes it</t>
  </si>
  <si>
    <t>PATHWAY_EXISTS_AND_CHANGED</t>
  </si>
  <si>
    <t>Yes, I know all of them</t>
  </si>
  <si>
    <t>YES_ALL</t>
  </si>
  <si>
    <t>I have one or more patents</t>
  </si>
  <si>
    <t>HAS_AT_LEAST_ONE</t>
  </si>
  <si>
    <t>Yes, I have a detailed estimate</t>
  </si>
  <si>
    <t>DETAILED_ESTIMATE</t>
  </si>
  <si>
    <t>Up to 10,000 per year</t>
  </si>
  <si>
    <t>UP_10000</t>
  </si>
  <si>
    <t>My innovation is cheaper to purchase</t>
  </si>
  <si>
    <t>CHEAPER</t>
  </si>
  <si>
    <t>Scotland</t>
  </si>
  <si>
    <t>Albania</t>
  </si>
  <si>
    <t>NO</t>
  </si>
  <si>
    <t>In vitro diagnostic</t>
  </si>
  <si>
    <t>Predicting the occurence of a condition or symptom</t>
  </si>
  <si>
    <t>PREDICT_CONDITION</t>
  </si>
  <si>
    <t>Not yet, but I have an idea</t>
  </si>
  <si>
    <t>NOT_YET</t>
  </si>
  <si>
    <t>I am working on one</t>
  </si>
  <si>
    <t>WORKING_ON</t>
  </si>
  <si>
    <t>Not yet</t>
  </si>
  <si>
    <t>I'm currently doing market research</t>
  </si>
  <si>
    <t>IN_PROGRESS</t>
  </si>
  <si>
    <t>A better alternative to those that already exist</t>
  </si>
  <si>
    <t>BETTER_ALTERNATIVE</t>
  </si>
  <si>
    <t>There is a pathway, and my innovation fits in to it</t>
  </si>
  <si>
    <t>PATHWAY_EXISTS_AND_FITS</t>
  </si>
  <si>
    <t>I am in the process of involving users in the design</t>
  </si>
  <si>
    <t>I am in the process of testing with users</t>
  </si>
  <si>
    <t>Yes, I know some of them</t>
  </si>
  <si>
    <t>YES_SOME</t>
  </si>
  <si>
    <t>I am actively working towards it</t>
  </si>
  <si>
    <t>I have applied for one or more patents</t>
  </si>
  <si>
    <t>APPLIED_AT_LEAST_ONE</t>
  </si>
  <si>
    <t>Yes, I have a rough idea</t>
  </si>
  <si>
    <t>ROUGH_IDEA</t>
  </si>
  <si>
    <t>10,000 to half a million per year</t>
  </si>
  <si>
    <t>BETWEEN_10000_500000</t>
  </si>
  <si>
    <t>My innovation costs more to purchase, but has greater benefits that will lead to overall cost savings</t>
  </si>
  <si>
    <t>COSTS_MORE_WITH_SAVINGS</t>
  </si>
  <si>
    <t>Wales</t>
  </si>
  <si>
    <t>Algeria</t>
  </si>
  <si>
    <t>Pharmaceutical</t>
  </si>
  <si>
    <t>Diagnosing a condition</t>
  </si>
  <si>
    <t>DIAGNOSE_CONDITION</t>
  </si>
  <si>
    <t>No, I do not have one</t>
  </si>
  <si>
    <t>An equivalent alternative to those that already exist</t>
  </si>
  <si>
    <t>EQUIVALENT_ALTERNATIVE</t>
  </si>
  <si>
    <t>There is no current care pathway</t>
  </si>
  <si>
    <t>NO_PATHWAY</t>
  </si>
  <si>
    <t>I do not have any patents, but believe I have freedom to operate</t>
  </si>
  <si>
    <t>HAS_NONE</t>
  </si>
  <si>
    <t>I do not know</t>
  </si>
  <si>
    <t>DONT_KNOW</t>
  </si>
  <si>
    <t>Not relevant</t>
  </si>
  <si>
    <t>NOT_RELEVANT</t>
  </si>
  <si>
    <t>More than half a million per year</t>
  </si>
  <si>
    <t>MORE_THAN_500000</t>
  </si>
  <si>
    <t>My innovation costs more to purchase and has greater benefits, but will lead to higher costs overall</t>
  </si>
  <si>
    <t>COSTS_MORE</t>
  </si>
  <si>
    <t>I am not sure</t>
  </si>
  <si>
    <t>NOT_SURE</t>
  </si>
  <si>
    <t>Northern Ireland</t>
  </si>
  <si>
    <t>Andorra</t>
  </si>
  <si>
    <t>Digital (including apps, platforms, software)</t>
  </si>
  <si>
    <t>Monitoring a condition, treatment or therapy</t>
  </si>
  <si>
    <t>MONITOR_CONDITION</t>
  </si>
  <si>
    <t>A more cost-effect alternative to those that already exist</t>
  </si>
  <si>
    <t>COST_EFFECT_ALTERNATIVE</t>
  </si>
  <si>
    <t>I'm based outside of the UK</t>
  </si>
  <si>
    <t>Based outside UK</t>
  </si>
  <si>
    <t>Angola</t>
  </si>
  <si>
    <t>Artificial intelligence (AI)</t>
  </si>
  <si>
    <t>Providing treatment or therapy</t>
  </si>
  <si>
    <t>PROVIDE_TREATMENT</t>
  </si>
  <si>
    <t>Does not form part of a care pathway</t>
  </si>
  <si>
    <t>NOT_PART_PATHWAY</t>
  </si>
  <si>
    <t>Not relevant to my innovation</t>
  </si>
  <si>
    <t>Antigua and Barbuda</t>
  </si>
  <si>
    <t>Education or training of workforce</t>
  </si>
  <si>
    <t>Managing a condition</t>
  </si>
  <si>
    <t>MANAGE_CONDITION</t>
  </si>
  <si>
    <t>Argentina</t>
  </si>
  <si>
    <t>Personal protective equipment (PPE)</t>
  </si>
  <si>
    <t>Enabling care, services or communication</t>
  </si>
  <si>
    <t>ENABLING_CARE</t>
  </si>
  <si>
    <t>Armenia</t>
  </si>
  <si>
    <t>Models of care and clinical pathways</t>
  </si>
  <si>
    <t>Supporting the NHS to mitigate the risks or effects of climate change and severe weather conditions</t>
  </si>
  <si>
    <t>RISKS_CLIMATE_CHANGE</t>
  </si>
  <si>
    <t>Australia</t>
  </si>
  <si>
    <t>Estates and facilities</t>
  </si>
  <si>
    <t>Austria</t>
  </si>
  <si>
    <t>Travel and transport</t>
  </si>
  <si>
    <t>Azerbaijan</t>
  </si>
  <si>
    <t>Food and nutrition</t>
  </si>
  <si>
    <t>Bahamas</t>
  </si>
  <si>
    <t>Data and monitoring</t>
  </si>
  <si>
    <t>Bahrain</t>
  </si>
  <si>
    <t>Other</t>
  </si>
  <si>
    <t>Bangladesh</t>
  </si>
  <si>
    <t>Barbados</t>
  </si>
  <si>
    <t>Belarus</t>
  </si>
  <si>
    <t>Belgium</t>
  </si>
  <si>
    <t>Belize</t>
  </si>
  <si>
    <t>Benin</t>
  </si>
  <si>
    <t>Bhutan</t>
  </si>
  <si>
    <t>Bolivia</t>
  </si>
  <si>
    <t>Bosnia and Herzegovina</t>
  </si>
  <si>
    <t>Botswana</t>
  </si>
  <si>
    <t>Brazil</t>
  </si>
  <si>
    <t>Brunei</t>
  </si>
  <si>
    <t>Bulgaria</t>
  </si>
  <si>
    <t>Burkina Faso</t>
  </si>
  <si>
    <t>Burundi</t>
  </si>
  <si>
    <t>Côte d'Ivoire</t>
  </si>
  <si>
    <t>Cabo Verde</t>
  </si>
  <si>
    <t>Cambodia</t>
  </si>
  <si>
    <t>Cameroon</t>
  </si>
  <si>
    <t>Canada</t>
  </si>
  <si>
    <t>Central African Republic</t>
  </si>
  <si>
    <t>Chad</t>
  </si>
  <si>
    <t>Chile</t>
  </si>
  <si>
    <t>China</t>
  </si>
  <si>
    <t>Colombia</t>
  </si>
  <si>
    <t>Comoros</t>
  </si>
  <si>
    <t>Congo (Congo-Brazzaville)</t>
  </si>
  <si>
    <t>Costa Rica</t>
  </si>
  <si>
    <t>Croatia</t>
  </si>
  <si>
    <t>Cuba</t>
  </si>
  <si>
    <t>Cyprus</t>
  </si>
  <si>
    <t>Czechia (Czech Republic)</t>
  </si>
  <si>
    <t>Democratic Republic of the Congo</t>
  </si>
  <si>
    <t>Denmark</t>
  </si>
  <si>
    <t>Djibouti</t>
  </si>
  <si>
    <t>Dominica</t>
  </si>
  <si>
    <t>Dominican Republic</t>
  </si>
  <si>
    <t>Ecuador</t>
  </si>
  <si>
    <t>Egypt</t>
  </si>
  <si>
    <t>El Salvador</t>
  </si>
  <si>
    <t>Equatorial Guinea</t>
  </si>
  <si>
    <t>Eritrea</t>
  </si>
  <si>
    <t>Estonia</t>
  </si>
  <si>
    <t>Eswatini (fmr. "Swaziland")</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</si>
  <si>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</si>
  <si>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</si>
  <si>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</si>
  <si>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</si>
  <si>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</si>
  <si>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</si>
  <si>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</si>
  <si>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</si>
  <si>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</si>
  <si>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</si>
  <si>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</si>
  <si>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</si>
  <si>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</si>
  <si>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</si>
  <si>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</si>
  <si>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</si>
  <si>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</si>
  <si>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</si>
  <si>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</si>
  <si>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</si>
  <si>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</si>
  <si>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</si>
  <si>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</si>
  <si>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</si>
  <si>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</si>
  <si>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</si>
  <si>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</si>
  <si>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</si>
  <si>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</si>
  <si>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</si>
  <si>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</si>
  <si>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</si>
  <si>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</si>
  <si>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</si>
  <si>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</si>
  <si>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</si>
  <si>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</si>
  <si>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</si>
  <si>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</si>
  <si>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</si>
  <si>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</si>
  <si>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</si>
  <si>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</si>
  <si>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</si>
  <si>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</si>
  <si>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</si>
  <si>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</si>
  <si>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</si>
  <si>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</si>
  <si>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</si>
  <si>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</si>
  <si>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</si>
  <si>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</si>
  <si>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</si>
  <si>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</si>
  <si>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</si>
  <si>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</si>
  <si>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</si>
  <si>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</si>
  <si>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</si>
  <si>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</si>
  <si>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 (formerly Burma)</t>
  </si>
  <si>
    <t>Namibia</t>
  </si>
  <si>
    <t>Nauru</t>
  </si>
  <si>
    <t>Nepal</t>
  </si>
  <si>
    <t>Netherlands</t>
  </si>
  <si>
    <t>New Zealand</t>
  </si>
  <si>
    <t>Nicaragua</t>
  </si>
  <si>
    <t>Niger</t>
  </si>
  <si>
    <t>Nigeria</t>
  </si>
  <si>
    <t>North Korea</t>
  </si>
  <si>
    <t>North Macedonia</t>
  </si>
  <si>
    <t>Norway</t>
  </si>
  <si>
    <t>Oman</t>
  </si>
  <si>
    <t>Pakistan</t>
  </si>
  <si>
    <t>Palau</t>
  </si>
  <si>
    <t>Palestine State</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</si>
  <si>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</si>
  <si>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</si>
  <si>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</si>
  <si>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</si>
  <si>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</si>
  <si>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</si>
  <si>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</si>
  <si>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</si>
  <si>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</si>
  <si>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</si>
  <si>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</si>
  <si>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</si>
  <si>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</si>
  <si>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</si>
  <si>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</si>
  <si>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</si>
  <si>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</si>
  <si>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</si>
  <si>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</si>
  <si>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</si>
  <si>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</si>
  <si>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</si>
  <si>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</si>
  <si>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</si>
  <si>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</si>
  <si>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</si>
  <si>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</si>
  <si>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</si>
  <si>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</si>
  <si>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</si>
  <si>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</si>
  <si>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</si>
  <si>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Sudan</t>
  </si>
  <si>
    <t>Suriname</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</si>
  <si>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</si>
  <si>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</si>
  <si>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</si>
  <si>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</si>
  <si>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</si>
  <si>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</si>
  <si>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</si>
  <si>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</si>
  <si>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</si>
  <si>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</si>
  <si>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</si>
  <si>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</si>
  <si>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</si>
  <si>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</si>
  <si>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</si>
  <si>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</si>
  <si>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</si>
  <si>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</si>
  <si>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 of America</t>
  </si>
  <si>
    <t>Uruguay</t>
  </si>
  <si>
    <t>Uzbekistan</t>
  </si>
  <si>
    <t>Vanuatu</t>
  </si>
  <si>
    <t>Venezuela</t>
  </si>
  <si>
    <t>Vietnam</t>
  </si>
  <si>
    <t>Yemen</t>
  </si>
  <si>
    <t>Zambia</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</si>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</sst>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FFFFFF"/>
      <sz val="12"/>
    </font>
    <font>
      <b/>
      <color rgb="FFFFFFFF"/>
      <sz val="14"/>
    </font>
    <font>
      <b/>
      <color rgb="FF000000"/>
      <sz val="11"/>
    </font>
    <font>
      <color rgb="FF000000"/>
    </font>
    <font>
      <b/>
      <i/>
      <color rgb="FFD9534F"/>
    </font>
    <font>
      <i/>
    </font>
    <font>
      <b/>
      <i/>
    </font>
    <font>
      <i/>
      <color rgb="FF555555"/>
    </font>
  </fonts>
  <fills count="5">
    <fill>
      <patternFill patternType="none"/>
    </fill>
    <fill>
      <patternFill patternType="gray125"/>
    </fill>
    <fill>
      <patternFill patternType="solid">
        <fgColor rgb="FF005EB8"/>
      </patternFill>
    </fill>
    <fill>
      <patternFill patternType="solid">
        <fgColor rgb="FF000000"/>
      </patternFill>
    </fill>
    <fill>
      <patternFill patternType="solid">
        <fgColor rgb="FFE0E0E0"/>
      </patternFill>
    </fill>
  </fills>
  <borders count="2">
    <border>
      <left/>
      <right/>
      <top/>
      <bottom/>
      <diagonal/>
    </border>
    <border>
      <left style="thin">
        <color rgb="FF005EB8"/>
      </left>
      <right style="thin">
        <color rgb="FF005EB8"/>
      </right>
      <top style="thin">
        <color rgb="FF005EB8"/>
      </top>
      <bottom style="thin">
        <color rgb="FF005EB8"/>
      </bottom>
      <diagonal/>
    </border>
  </borders>
  <cellStyleXfs count="1">
    <xf numFmtId="0" fontId="0" fillId="0" borderId="0"/>
  </cellStyleXfs>
  <cellXfs count="13">
    <xf numFmtId="0" fontId="0" fillId="0" borderId="0" xfId="0"/>
    <xf numFmtId="0" fontId="0" fillId="0" borderId="0" xfId="0" applyAlignment="1">
      <alignment vertical="top" wrapText="1"/>
    </xf>
    <xf numFmtId="0" fontId="1" fillId="2" borderId="0" xfId="0" applyFont="1" applyFill="1" applyAlignment="1">
      <alignment horizontal="center" vertical="center" wrapText="1"/>
    </xf>
    <xf numFmtId="0" fontId="2" fillId="3" borderId="0" xfId="0" applyFont="1" applyFill="1" applyAlignment="1">
      <alignment vertical="center"/>
    </xf>
    <xf numFmtId="0" fontId="3" fillId="4" borderId="0" xfId="0" applyFont="1" applyFill="1" applyAlignment="1">
      <alignment vertical="center"/>
    </xf>
    <xf numFmtId="0" fontId="4" fillId="0" borderId="1" xfId="0" applyFont="1" applyBorder="1" applyAlignment="1">
      <alignment vertical="top" wrapText="1"/>
    </xf>
    <xf numFmtId="0" fontId="5" fillId="0" borderId="0" xfId="0" applyFont="1" applyAlignment="1">
      <alignment vertical="top" wrapText="1"/>
    </xf>
    <xf numFmtId="0" fontId="6" fillId="0" borderId="0" xfId="0" applyFont="1"/>
    <xf numFmtId="0" fontId="6" fillId="0" borderId="0" xfId="0" applyFont="1" applyAlignment="1">
      <alignment vertical="top" wrapText="1"/>
    </xf>
    <xf numFmtId="0" fontId="0" fillId="0" borderId="0" xfId="0" applyAlignment="1">
      <alignment horizontal="center"/>
    </xf>
    <xf numFmtId="0" fontId="7" fillId="0" borderId="0" xfId="0" applyFont="1"/>
    <xf numFmtId="0" fontId="7" fillId="0" borderId="0" xfId="0" applyFont="1" applyAlignment="1">
      <alignment vertical="top" wrapText="1"/>
    </xf>
    <xf numFmtId="0" fontId="8" fillId="0" borderId="0" xfId="0" applyFont="1" applyAlignment="1">
      <alignment vertical="top" wrapText="1"/>
    </xf>
  </cellXfs>
  <cellStyles count="1">
    <cellStyle name="Normal" xfId="0" builtinId="0"/>
  </cellStyles>
  <dxfs count="58">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
      <font>
        <color rgb="FF000000"/>
      </font>
      <fill>
        <patternFill patternType="solid">
          <bgColor rgb="FFFF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6"/>
  <sheetFormatPr defaultRowHeight="15" outlineLevelRow="0" outlineLevelCol="0" x14ac:dyDescent="55"/>
  <cols>
    <col min="1" max="1" width="5" customWidth="1"/>
    <col min="2" max="5" width="45" style="1" customWidth="1"/>
    <col min="6" max="9" hidden="1" customWidth="1"/>
  </cols>
  <sheetData>
    <row r="1" spans="1:9" x14ac:dyDescent="0.25">
      <c r="A1" t="s">
        <v>0</v>
      </c>
      <c r="B1" s="2" t="s">
        <v>1</v>
      </c>
      <c r="C1" s="2" t="s">
        <v>2</v>
      </c>
      <c r="D1" s="2" t="s">
        <v>3</v>
      </c>
      <c r="E1" s="2" t="s">
        <v>4</v>
      </c>
      <c r="F1" s="2" t="s">
        <v>5</v>
      </c>
      <c r="G1" s="2" t="s">
        <v>6</v>
      </c>
      <c r="H1" s="2" t="s">
        <v>7</v>
      </c>
      <c r="I1" s="2" t="s">
        <v>8</v>
      </c>
    </row>
    <row r="2" ht="48" customHeight="1" spans="1:7" x14ac:dyDescent="0.25">
      <c r="A2" s="3" t="s">
        <v>9</v>
      </c>
      <c r="B2" s="3"/>
      <c r="C2" s="3"/>
      <c r="D2" s="3"/>
      <c r="E2" s="3"/>
      <c r="F2" t="s">
        <v>0</v>
      </c>
      <c r="G2" t="s">
        <v>0</v>
      </c>
    </row>
    <row r="3" ht="32" customHeight="1" spans="1:7" x14ac:dyDescent="0.25">
      <c r="A3" s="4" t="s">
        <v>10</v>
      </c>
      <c r="B3" s="4"/>
      <c r="C3" s="4"/>
      <c r="D3" s="4"/>
      <c r="E3" s="4"/>
      <c r="F3" t="s">
        <v>0</v>
      </c>
      <c r="G3" t="s">
        <v>0</v>
      </c>
    </row>
    <row r="4" spans="1:6" x14ac:dyDescent="0.25">
      <c r="A4" t="s">
        <v>0</v>
      </c>
      <c r="B4" s="1" t="s">
        <v>11</v>
      </c>
      <c r="C4" s="5" t="s">
        <v>0</v>
      </c>
      <c r="D4" s="1" t="s">
        <v>0</v>
      </c>
      <c r="E4" s="1" t="s">
        <v>12</v>
      </c>
      <c r="F4" t="s">
        <v>13</v>
      </c>
    </row>
    <row r="5" spans="1:6" x14ac:dyDescent="0.25">
      <c r="A5" t="s">
        <v>0</v>
      </c>
      <c r="B5" s="1" t="s">
        <v>14</v>
      </c>
      <c r="C5" s="5" t="s">
        <v>0</v>
      </c>
      <c r="D5" s="1" t="s">
        <v>0</v>
      </c>
      <c r="E5" s="1" t="s">
        <v>15</v>
      </c>
      <c r="F5" t="s">
        <v>16</v>
      </c>
    </row>
    <row r="6" spans="1:7" x14ac:dyDescent="0.25">
      <c r="A6" t="s">
        <v>0</v>
      </c>
      <c r="B6" s="1" t="s">
        <v>17</v>
      </c>
      <c r="C6" s="5" t="s">
        <v>0</v>
      </c>
      <c r="D6" s="1" t="s">
        <v>0</v>
      </c>
      <c r="E6" s="1" t="s">
        <v>18</v>
      </c>
      <c r="F6" t="s">
        <v>19</v>
      </c>
      <c r="G6">
        <f>IFERROR(VLOOKUP(C6, 'ReferenceData'!$A$1:$B$5, 2, 0), "")</f>
      </c>
    </row>
    <row r="7" spans="1:7" x14ac:dyDescent="0.25">
      <c r="A7" t="s">
        <v>0</v>
      </c>
      <c r="B7" s="6" t="s">
        <v>20</v>
      </c>
      <c r="C7" s="1" t="s">
        <v>0</v>
      </c>
      <c r="D7" s="1" t="s">
        <v>0</v>
      </c>
      <c r="E7" s="1" t="s">
        <v>0</v>
      </c>
      <c r="F7" t="s">
        <v>0</v>
      </c>
      <c r="G7" t="s">
        <v>0</v>
      </c>
    </row>
    <row r="8" spans="1:6" x14ac:dyDescent="0.25">
      <c r="A8" t="s">
        <v>0</v>
      </c>
      <c r="B8" s="1" t="s">
        <v>21</v>
      </c>
      <c r="C8" s="5" t="s">
        <v>0</v>
      </c>
      <c r="D8" s="1" t="s">
        <v>0</v>
      </c>
      <c r="E8" s="1" t="s">
        <v>22</v>
      </c>
      <c r="F8" t="s">
        <v>23</v>
      </c>
    </row>
    <row r="9" spans="1:7" x14ac:dyDescent="0.25">
      <c r="A9" t="s">
        <v>0</v>
      </c>
      <c r="B9" s="6" t="s">
        <v>24</v>
      </c>
      <c r="C9" s="1" t="s">
        <v>0</v>
      </c>
      <c r="D9" s="1" t="s">
        <v>0</v>
      </c>
      <c r="E9" s="1" t="s">
        <v>0</v>
      </c>
      <c r="F9" t="s">
        <v>0</v>
      </c>
      <c r="G9" t="s">
        <v>0</v>
      </c>
    </row>
    <row r="10" spans="1:7" x14ac:dyDescent="0.25">
      <c r="A10" t="s">
        <v>0</v>
      </c>
      <c r="B10" s="1" t="s">
        <v>25</v>
      </c>
      <c r="C10" s="5" t="s">
        <v>0</v>
      </c>
      <c r="D10" s="1" t="s">
        <v>0</v>
      </c>
      <c r="E10" s="1" t="s">
        <v>26</v>
      </c>
      <c r="F10" t="s">
        <v>27</v>
      </c>
      <c r="G10">
        <f>IFERROR(VLOOKUP(C10, 'ReferenceData'!$C$1:$D$195, 2, 0), "")</f>
      </c>
    </row>
    <row r="11" spans="1:7" x14ac:dyDescent="0.25">
      <c r="A11" t="s">
        <v>0</v>
      </c>
      <c r="B11" s="1" t="s">
        <v>28</v>
      </c>
      <c r="C11" s="5" t="s">
        <v>0</v>
      </c>
      <c r="D11" s="1" t="s">
        <v>0</v>
      </c>
      <c r="E11" s="1" t="s">
        <v>26</v>
      </c>
      <c r="F11" t="s">
        <v>29</v>
      </c>
      <c r="G11">
        <f>IFERROR(VLOOKUP(C11, 'ReferenceData'!$E$1:$F$2, 2, 0), "")</f>
      </c>
    </row>
    <row r="12" spans="1:6" x14ac:dyDescent="0.25">
      <c r="A12" t="s">
        <v>0</v>
      </c>
      <c r="B12" s="1" t="s">
        <v>30</v>
      </c>
      <c r="C12" s="5" t="s">
        <v>0</v>
      </c>
      <c r="D12" s="1" t="s">
        <v>0</v>
      </c>
      <c r="E12" s="1" t="s">
        <v>26</v>
      </c>
      <c r="F12" t="s">
        <v>31</v>
      </c>
    </row>
    <row r="13" spans="1:7" x14ac:dyDescent="0.25">
      <c r="A13" t="s">
        <v>0</v>
      </c>
      <c r="B13" s="1" t="s">
        <v>32</v>
      </c>
      <c r="C13" s="5" t="s">
        <v>0</v>
      </c>
      <c r="D13" s="1" t="s">
        <v>0</v>
      </c>
      <c r="E13" s="1" t="s">
        <v>0</v>
      </c>
      <c r="F13" t="s">
        <v>33</v>
      </c>
      <c r="G13">
        <f>IFERROR(VLOOKUP(C13, 'ReferenceData'!$G$1:$H$2, 2, 0), "")</f>
      </c>
    </row>
    <row r="14" spans="1:6" x14ac:dyDescent="0.25">
      <c r="A14" t="s">
        <v>0</v>
      </c>
      <c r="B14" s="1" t="s">
        <v>34</v>
      </c>
      <c r="C14" s="5" t="s">
        <v>0</v>
      </c>
      <c r="D14" s="1" t="s">
        <v>0</v>
      </c>
      <c r="E14" s="1" t="s">
        <v>0</v>
      </c>
      <c r="F14" t="s">
        <v>35</v>
      </c>
    </row>
    <row r="15" spans="1:1" x14ac:dyDescent="0.25">
      <c r="A15" t="s">
        <v>0</v>
      </c>
    </row>
    <row r="16" spans="1:6" s="7" customFormat="1" x14ac:dyDescent="0.25">
      <c r="A16" s="7" t="s">
        <v>0</v>
      </c>
      <c r="B16" s="8" t="s">
        <v>36</v>
      </c>
      <c r="C16" s="8" t="s">
        <v>0</v>
      </c>
      <c r="D16" s="8" t="s">
        <v>0</v>
      </c>
      <c r="E16" s="8" t="s">
        <v>0</v>
      </c>
      <c r="F16" s="7">
        <f>TEXTJOIN("; ", TRUE, G17:G29)</f>
      </c>
    </row>
    <row r="17" spans="1:7" x14ac:dyDescent="0.25">
      <c r="A17" t="s">
        <v>0</v>
      </c>
      <c r="B17" s="1" t="s">
        <v>37</v>
      </c>
      <c r="C17" s="9" t="s">
        <v>0</v>
      </c>
      <c r="D17" s="1" t="s">
        <v>0</v>
      </c>
      <c r="E17" s="1" t="s">
        <v>0</v>
      </c>
      <c r="F17" t="s">
        <v>38</v>
      </c>
      <c r="G17">
        <f>IF(C17="Selected", F17, "")</f>
      </c>
    </row>
    <row r="18" spans="1:7" x14ac:dyDescent="0.25">
      <c r="A18" t="s">
        <v>0</v>
      </c>
      <c r="B18" s="1" t="s">
        <v>39</v>
      </c>
      <c r="C18" s="9" t="s">
        <v>0</v>
      </c>
      <c r="D18" s="1" t="s">
        <v>0</v>
      </c>
      <c r="E18" s="1" t="s">
        <v>0</v>
      </c>
      <c r="F18" t="s">
        <v>40</v>
      </c>
      <c r="G18">
        <f>IF(C18="Selected", F18, "")</f>
      </c>
    </row>
    <row r="19" spans="1:7" x14ac:dyDescent="0.25">
      <c r="A19" t="s">
        <v>0</v>
      </c>
      <c r="B19" s="1" t="s">
        <v>41</v>
      </c>
      <c r="C19" s="9" t="s">
        <v>0</v>
      </c>
      <c r="D19" s="1" t="s">
        <v>0</v>
      </c>
      <c r="E19" s="1" t="s">
        <v>0</v>
      </c>
      <c r="F19" t="s">
        <v>42</v>
      </c>
      <c r="G19">
        <f>IF(C19="Selected", F19, "")</f>
      </c>
    </row>
    <row r="20" spans="1:7" x14ac:dyDescent="0.25">
      <c r="A20" t="s">
        <v>0</v>
      </c>
      <c r="B20" s="1" t="s">
        <v>43</v>
      </c>
      <c r="C20" s="9" t="s">
        <v>0</v>
      </c>
      <c r="D20" s="1" t="s">
        <v>0</v>
      </c>
      <c r="E20" s="1" t="s">
        <v>0</v>
      </c>
      <c r="F20" t="s">
        <v>44</v>
      </c>
      <c r="G20">
        <f>IF(C20="Selected", F20, "")</f>
      </c>
    </row>
    <row r="21" spans="1:7" x14ac:dyDescent="0.25">
      <c r="A21" t="s">
        <v>0</v>
      </c>
      <c r="B21" s="1" t="s">
        <v>45</v>
      </c>
      <c r="C21" s="9" t="s">
        <v>0</v>
      </c>
      <c r="D21" s="1" t="s">
        <v>0</v>
      </c>
      <c r="E21" s="1" t="s">
        <v>0</v>
      </c>
      <c r="F21" t="s">
        <v>46</v>
      </c>
      <c r="G21">
        <f>IF(C21="Selected", F21, "")</f>
      </c>
    </row>
    <row r="22" spans="1:7" x14ac:dyDescent="0.25">
      <c r="A22" t="s">
        <v>0</v>
      </c>
      <c r="B22" s="1" t="s">
        <v>47</v>
      </c>
      <c r="C22" s="9" t="s">
        <v>0</v>
      </c>
      <c r="D22" s="1" t="s">
        <v>0</v>
      </c>
      <c r="E22" s="1" t="s">
        <v>0</v>
      </c>
      <c r="F22" t="s">
        <v>48</v>
      </c>
      <c r="G22">
        <f>IF(C22="Selected", F22, "")</f>
      </c>
    </row>
    <row r="23" spans="1:7" x14ac:dyDescent="0.25">
      <c r="A23" t="s">
        <v>0</v>
      </c>
      <c r="B23" s="1" t="s">
        <v>49</v>
      </c>
      <c r="C23" s="9" t="s">
        <v>0</v>
      </c>
      <c r="D23" s="1" t="s">
        <v>0</v>
      </c>
      <c r="E23" s="1" t="s">
        <v>0</v>
      </c>
      <c r="F23" t="s">
        <v>50</v>
      </c>
      <c r="G23">
        <f>IF(C23="Selected", F23, "")</f>
      </c>
    </row>
    <row r="24" spans="1:7" x14ac:dyDescent="0.25">
      <c r="A24" t="s">
        <v>0</v>
      </c>
      <c r="B24" s="1" t="s">
        <v>51</v>
      </c>
      <c r="C24" s="9" t="s">
        <v>0</v>
      </c>
      <c r="D24" s="1" t="s">
        <v>0</v>
      </c>
      <c r="E24" s="1" t="s">
        <v>0</v>
      </c>
      <c r="F24" t="s">
        <v>52</v>
      </c>
      <c r="G24">
        <f>IF(C24="Selected", F24, "")</f>
      </c>
    </row>
    <row r="25" spans="1:7" x14ac:dyDescent="0.25">
      <c r="A25" t="s">
        <v>0</v>
      </c>
      <c r="B25" s="1" t="s">
        <v>53</v>
      </c>
      <c r="C25" s="9" t="s">
        <v>0</v>
      </c>
      <c r="D25" s="1" t="s">
        <v>0</v>
      </c>
      <c r="E25" s="1" t="s">
        <v>0</v>
      </c>
      <c r="F25" t="s">
        <v>54</v>
      </c>
      <c r="G25">
        <f>IF(C25="Selected", F25, "")</f>
      </c>
    </row>
    <row r="26" spans="1:7" x14ac:dyDescent="0.25">
      <c r="A26" t="s">
        <v>0</v>
      </c>
      <c r="B26" s="1" t="s">
        <v>55</v>
      </c>
      <c r="C26" s="9" t="s">
        <v>0</v>
      </c>
      <c r="D26" s="1" t="s">
        <v>0</v>
      </c>
      <c r="E26" s="1" t="s">
        <v>0</v>
      </c>
      <c r="F26" t="s">
        <v>56</v>
      </c>
      <c r="G26">
        <f>IF(C26="Selected", F26, "")</f>
      </c>
    </row>
    <row r="27" spans="1:7" x14ac:dyDescent="0.25">
      <c r="A27" t="s">
        <v>0</v>
      </c>
      <c r="B27" s="1" t="s">
        <v>57</v>
      </c>
      <c r="C27" s="9" t="s">
        <v>0</v>
      </c>
      <c r="D27" s="1" t="s">
        <v>0</v>
      </c>
      <c r="E27" s="1" t="s">
        <v>0</v>
      </c>
      <c r="F27" t="s">
        <v>58</v>
      </c>
      <c r="G27">
        <f>IF(C27="Selected", F27, "")</f>
      </c>
    </row>
    <row r="28" spans="1:7" x14ac:dyDescent="0.25">
      <c r="A28" t="s">
        <v>0</v>
      </c>
      <c r="B28" s="1" t="s">
        <v>59</v>
      </c>
      <c r="C28" s="9" t="s">
        <v>0</v>
      </c>
      <c r="D28" s="1" t="s">
        <v>0</v>
      </c>
      <c r="E28" s="1" t="s">
        <v>0</v>
      </c>
      <c r="F28" t="s">
        <v>60</v>
      </c>
      <c r="G28">
        <f>IF(C28="Selected", F28, "")</f>
      </c>
    </row>
    <row r="29" spans="1:7" x14ac:dyDescent="0.25">
      <c r="A29" t="s">
        <v>0</v>
      </c>
      <c r="B29" s="1" t="s">
        <v>61</v>
      </c>
      <c r="C29" s="9" t="s">
        <v>0</v>
      </c>
      <c r="D29" s="1" t="s">
        <v>0</v>
      </c>
      <c r="E29" s="1" t="s">
        <v>0</v>
      </c>
      <c r="F29" t="s">
        <v>62</v>
      </c>
      <c r="G29">
        <f>IF(C29="Selected", F29, "")</f>
      </c>
    </row>
    <row r="30" spans="1:1" x14ac:dyDescent="0.25">
      <c r="A30" t="s">
        <v>0</v>
      </c>
    </row>
    <row r="31" spans="1:7" x14ac:dyDescent="0.25">
      <c r="A31" t="s">
        <v>0</v>
      </c>
      <c r="B31" s="1" t="s">
        <v>63</v>
      </c>
      <c r="C31" s="5" t="s">
        <v>0</v>
      </c>
      <c r="D31" s="1" t="s">
        <v>0</v>
      </c>
      <c r="E31" s="1" t="s">
        <v>26</v>
      </c>
      <c r="F31" t="s">
        <v>64</v>
      </c>
      <c r="G31">
        <f>IFERROR(VLOOKUP(C31, 'ReferenceData'!$I$1:$J$13, 2, 0), "")</f>
      </c>
    </row>
    <row r="32" spans="1:6" x14ac:dyDescent="0.25">
      <c r="A32" t="s">
        <v>0</v>
      </c>
      <c r="B32" s="1" t="s">
        <v>65</v>
      </c>
      <c r="C32" s="5" t="s">
        <v>0</v>
      </c>
      <c r="D32" s="1" t="s">
        <v>0</v>
      </c>
      <c r="E32" s="1" t="s">
        <v>66</v>
      </c>
      <c r="F32" t="s">
        <v>67</v>
      </c>
    </row>
    <row r="33" spans="1:1" x14ac:dyDescent="0.25">
      <c r="A33" t="s">
        <v>0</v>
      </c>
    </row>
    <row r="34" spans="1:6" s="7" customFormat="1" x14ac:dyDescent="0.25">
      <c r="A34" s="7" t="s">
        <v>0</v>
      </c>
      <c r="B34" s="8" t="s">
        <v>68</v>
      </c>
      <c r="C34" s="8" t="s">
        <v>0</v>
      </c>
      <c r="D34" s="8" t="s">
        <v>0</v>
      </c>
      <c r="E34" s="8" t="s">
        <v>69</v>
      </c>
      <c r="F34" s="7">
        <f>TEXTJOIN("; ", TRUE, G35:G45)</f>
      </c>
    </row>
    <row r="35" spans="1:7" x14ac:dyDescent="0.25">
      <c r="A35" t="s">
        <v>0</v>
      </c>
      <c r="B35" s="1" t="s">
        <v>70</v>
      </c>
      <c r="C35" s="9" t="s">
        <v>0</v>
      </c>
      <c r="D35" s="1" t="s">
        <v>0</v>
      </c>
      <c r="E35" s="1" t="s">
        <v>0</v>
      </c>
      <c r="F35" t="s">
        <v>71</v>
      </c>
      <c r="G35">
        <f>IF(C35="Selected", F35, "")</f>
      </c>
    </row>
    <row r="36" spans="1:7" x14ac:dyDescent="0.25">
      <c r="A36" t="s">
        <v>0</v>
      </c>
      <c r="B36" s="1" t="s">
        <v>72</v>
      </c>
      <c r="C36" s="9" t="s">
        <v>0</v>
      </c>
      <c r="D36" s="1" t="s">
        <v>0</v>
      </c>
      <c r="E36" s="1" t="s">
        <v>0</v>
      </c>
      <c r="F36" t="s">
        <v>73</v>
      </c>
      <c r="G36">
        <f>IF(C36="Selected", F36, "")</f>
      </c>
    </row>
    <row r="37" spans="1:7" x14ac:dyDescent="0.25">
      <c r="A37" t="s">
        <v>0</v>
      </c>
      <c r="B37" s="1" t="s">
        <v>74</v>
      </c>
      <c r="C37" s="9" t="s">
        <v>0</v>
      </c>
      <c r="D37" s="1" t="s">
        <v>0</v>
      </c>
      <c r="E37" s="1" t="s">
        <v>0</v>
      </c>
      <c r="F37" t="s">
        <v>75</v>
      </c>
      <c r="G37">
        <f>IF(C37="Selected", F37, "")</f>
      </c>
    </row>
    <row r="38" spans="1:7" x14ac:dyDescent="0.25">
      <c r="A38" t="s">
        <v>0</v>
      </c>
      <c r="B38" s="1" t="s">
        <v>76</v>
      </c>
      <c r="C38" s="9" t="s">
        <v>0</v>
      </c>
      <c r="D38" s="1" t="s">
        <v>0</v>
      </c>
      <c r="E38" s="1" t="s">
        <v>0</v>
      </c>
      <c r="F38" t="s">
        <v>77</v>
      </c>
      <c r="G38">
        <f>IF(C38="Selected", F38, "")</f>
      </c>
    </row>
    <row r="39" spans="1:7" x14ac:dyDescent="0.25">
      <c r="A39" t="s">
        <v>0</v>
      </c>
      <c r="B39" s="1" t="s">
        <v>78</v>
      </c>
      <c r="C39" s="9" t="s">
        <v>0</v>
      </c>
      <c r="D39" s="1" t="s">
        <v>0</v>
      </c>
      <c r="E39" s="1" t="s">
        <v>0</v>
      </c>
      <c r="F39" t="s">
        <v>79</v>
      </c>
      <c r="G39">
        <f>IF(C39="Selected", F39, "")</f>
      </c>
    </row>
    <row r="40" spans="1:7" x14ac:dyDescent="0.25">
      <c r="A40" t="s">
        <v>0</v>
      </c>
      <c r="B40" s="1" t="s">
        <v>80</v>
      </c>
      <c r="C40" s="9" t="s">
        <v>0</v>
      </c>
      <c r="D40" s="1" t="s">
        <v>0</v>
      </c>
      <c r="E40" s="1" t="s">
        <v>0</v>
      </c>
      <c r="F40" t="s">
        <v>81</v>
      </c>
      <c r="G40">
        <f>IF(C40="Selected", F40, "")</f>
      </c>
    </row>
    <row r="41" spans="1:7" x14ac:dyDescent="0.25">
      <c r="A41" t="s">
        <v>0</v>
      </c>
      <c r="B41" s="1" t="s">
        <v>82</v>
      </c>
      <c r="C41" s="9" t="s">
        <v>0</v>
      </c>
      <c r="D41" s="1" t="s">
        <v>0</v>
      </c>
      <c r="E41" s="1" t="s">
        <v>0</v>
      </c>
      <c r="F41" t="s">
        <v>83</v>
      </c>
      <c r="G41">
        <f>IF(C41="Selected", F41, "")</f>
      </c>
    </row>
    <row r="42" spans="1:7" x14ac:dyDescent="0.25">
      <c r="A42" t="s">
        <v>0</v>
      </c>
      <c r="B42" s="1" t="s">
        <v>84</v>
      </c>
      <c r="C42" s="9" t="s">
        <v>0</v>
      </c>
      <c r="D42" s="1" t="s">
        <v>0</v>
      </c>
      <c r="E42" s="1" t="s">
        <v>0</v>
      </c>
      <c r="F42" t="s">
        <v>85</v>
      </c>
      <c r="G42">
        <f>IF(C42="Selected", F42, "")</f>
      </c>
    </row>
    <row r="43" spans="1:7" x14ac:dyDescent="0.25">
      <c r="A43" t="s">
        <v>0</v>
      </c>
      <c r="B43" s="1" t="s">
        <v>86</v>
      </c>
      <c r="C43" s="9" t="s">
        <v>0</v>
      </c>
      <c r="D43" s="1" t="s">
        <v>0</v>
      </c>
      <c r="E43" s="1" t="s">
        <v>0</v>
      </c>
      <c r="F43" t="s">
        <v>87</v>
      </c>
      <c r="G43">
        <f>IF(C43="Selected", F43, "")</f>
      </c>
    </row>
    <row r="44" spans="1:7" x14ac:dyDescent="0.25">
      <c r="A44" t="s">
        <v>0</v>
      </c>
      <c r="B44" s="1" t="s">
        <v>88</v>
      </c>
      <c r="C44" s="9" t="s">
        <v>0</v>
      </c>
      <c r="D44" s="1" t="s">
        <v>0</v>
      </c>
      <c r="E44" s="1" t="s">
        <v>0</v>
      </c>
      <c r="F44" t="s">
        <v>89</v>
      </c>
      <c r="G44">
        <f>IF(C44="Selected", F44, "")</f>
      </c>
    </row>
    <row r="45" spans="1:7" x14ac:dyDescent="0.25">
      <c r="A45" t="s">
        <v>0</v>
      </c>
      <c r="B45" s="1" t="s">
        <v>90</v>
      </c>
      <c r="C45" s="9" t="s">
        <v>0</v>
      </c>
      <c r="D45" s="1" t="s">
        <v>0</v>
      </c>
      <c r="E45" s="1" t="s">
        <v>0</v>
      </c>
      <c r="F45" t="s">
        <v>91</v>
      </c>
      <c r="G45">
        <f>IF(C45="Selected", F45, "")</f>
      </c>
    </row>
    <row r="46" spans="1:1" x14ac:dyDescent="0.25">
      <c r="A46" t="s">
        <v>0</v>
      </c>
    </row>
    <row r="47" spans="1:1" x14ac:dyDescent="0.25">
      <c r="A47" t="s">
        <v>0</v>
      </c>
    </row>
    <row r="48" spans="1:6" s="7" customFormat="1" x14ac:dyDescent="0.25">
      <c r="A48" s="7" t="s">
        <v>0</v>
      </c>
      <c r="B48" s="8" t="s">
        <v>92</v>
      </c>
      <c r="C48" s="8" t="s">
        <v>0</v>
      </c>
      <c r="D48" s="8" t="s">
        <v>0</v>
      </c>
      <c r="E48" s="8" t="s">
        <v>0</v>
      </c>
      <c r="F48" s="7">
        <f>TEXTJOIN("; ", TRUE, G49:G64)</f>
      </c>
    </row>
    <row r="49" spans="1:7" x14ac:dyDescent="0.25">
      <c r="A49" t="s">
        <v>0</v>
      </c>
      <c r="B49" s="1" t="s">
        <v>93</v>
      </c>
      <c r="C49" s="9" t="s">
        <v>0</v>
      </c>
      <c r="D49" s="1" t="s">
        <v>0</v>
      </c>
      <c r="E49" s="1" t="s">
        <v>0</v>
      </c>
      <c r="F49" t="s">
        <v>94</v>
      </c>
      <c r="G49">
        <f>IF(C49="Selected", F49, "")</f>
      </c>
    </row>
    <row r="50" spans="1:7" x14ac:dyDescent="0.25">
      <c r="A50" t="s">
        <v>0</v>
      </c>
      <c r="B50" s="1" t="s">
        <v>95</v>
      </c>
      <c r="C50" s="9" t="s">
        <v>0</v>
      </c>
      <c r="D50" s="1" t="s">
        <v>0</v>
      </c>
      <c r="E50" s="1" t="s">
        <v>0</v>
      </c>
      <c r="F50" t="s">
        <v>96</v>
      </c>
      <c r="G50">
        <f>IF(C50="Selected", F50, "")</f>
      </c>
    </row>
    <row r="51" spans="1:7" x14ac:dyDescent="0.25">
      <c r="A51" t="s">
        <v>0</v>
      </c>
      <c r="B51" s="1" t="s">
        <v>97</v>
      </c>
      <c r="C51" s="9" t="s">
        <v>0</v>
      </c>
      <c r="D51" s="1" t="s">
        <v>0</v>
      </c>
      <c r="E51" s="1" t="s">
        <v>0</v>
      </c>
      <c r="F51" t="s">
        <v>98</v>
      </c>
      <c r="G51">
        <f>IF(C51="Selected", F51, "")</f>
      </c>
    </row>
    <row r="52" spans="1:7" x14ac:dyDescent="0.25">
      <c r="A52" t="s">
        <v>0</v>
      </c>
      <c r="B52" s="1" t="s">
        <v>99</v>
      </c>
      <c r="C52" s="9" t="s">
        <v>0</v>
      </c>
      <c r="D52" s="1" t="s">
        <v>0</v>
      </c>
      <c r="E52" s="1" t="s">
        <v>0</v>
      </c>
      <c r="F52" t="s">
        <v>100</v>
      </c>
      <c r="G52">
        <f>IF(C52="Selected", F52, "")</f>
      </c>
    </row>
    <row r="53" spans="1:7" x14ac:dyDescent="0.25">
      <c r="A53" t="s">
        <v>0</v>
      </c>
      <c r="B53" s="1" t="s">
        <v>101</v>
      </c>
      <c r="C53" s="9" t="s">
        <v>0</v>
      </c>
      <c r="D53" s="1" t="s">
        <v>0</v>
      </c>
      <c r="E53" s="1" t="s">
        <v>0</v>
      </c>
      <c r="F53" t="s">
        <v>102</v>
      </c>
      <c r="G53">
        <f>IF(C53="Selected", F53, "")</f>
      </c>
    </row>
    <row r="54" spans="1:7" x14ac:dyDescent="0.25">
      <c r="A54" t="s">
        <v>0</v>
      </c>
      <c r="B54" s="1" t="s">
        <v>103</v>
      </c>
      <c r="C54" s="9" t="s">
        <v>0</v>
      </c>
      <c r="D54" s="1" t="s">
        <v>0</v>
      </c>
      <c r="E54" s="1" t="s">
        <v>0</v>
      </c>
      <c r="F54" t="s">
        <v>104</v>
      </c>
      <c r="G54">
        <f>IF(C54="Selected", F54, "")</f>
      </c>
    </row>
    <row r="55" spans="1:7" x14ac:dyDescent="0.25">
      <c r="A55" t="s">
        <v>0</v>
      </c>
      <c r="B55" s="1" t="s">
        <v>105</v>
      </c>
      <c r="C55" s="9" t="s">
        <v>0</v>
      </c>
      <c r="D55" s="1" t="s">
        <v>0</v>
      </c>
      <c r="E55" s="1" t="s">
        <v>0</v>
      </c>
      <c r="F55" t="s">
        <v>106</v>
      </c>
      <c r="G55">
        <f>IF(C55="Selected", F55, "")</f>
      </c>
    </row>
    <row r="56" spans="1:7" x14ac:dyDescent="0.25">
      <c r="A56" t="s">
        <v>0</v>
      </c>
      <c r="B56" s="1" t="s">
        <v>107</v>
      </c>
      <c r="C56" s="9" t="s">
        <v>0</v>
      </c>
      <c r="D56" s="1" t="s">
        <v>0</v>
      </c>
      <c r="E56" s="1" t="s">
        <v>0</v>
      </c>
      <c r="F56" t="s">
        <v>108</v>
      </c>
      <c r="G56">
        <f>IF(C56="Selected", F56, "")</f>
      </c>
    </row>
    <row r="57" spans="1:7" x14ac:dyDescent="0.25">
      <c r="A57" t="s">
        <v>0</v>
      </c>
      <c r="B57" s="1" t="s">
        <v>109</v>
      </c>
      <c r="C57" s="9" t="s">
        <v>0</v>
      </c>
      <c r="D57" s="1" t="s">
        <v>0</v>
      </c>
      <c r="E57" s="1" t="s">
        <v>0</v>
      </c>
      <c r="F57" t="s">
        <v>110</v>
      </c>
      <c r="G57">
        <f>IF(C57="Selected", F57, "")</f>
      </c>
    </row>
    <row r="58" spans="1:7" x14ac:dyDescent="0.25">
      <c r="A58" t="s">
        <v>0</v>
      </c>
      <c r="B58" s="1" t="s">
        <v>111</v>
      </c>
      <c r="C58" s="9" t="s">
        <v>0</v>
      </c>
      <c r="D58" s="1" t="s">
        <v>0</v>
      </c>
      <c r="E58" s="1" t="s">
        <v>0</v>
      </c>
      <c r="F58" t="s">
        <v>112</v>
      </c>
      <c r="G58">
        <f>IF(C58="Selected", F58, "")</f>
      </c>
    </row>
    <row r="59" spans="1:7" x14ac:dyDescent="0.25">
      <c r="A59" t="s">
        <v>0</v>
      </c>
      <c r="B59" s="1" t="s">
        <v>113</v>
      </c>
      <c r="C59" s="9" t="s">
        <v>0</v>
      </c>
      <c r="D59" s="1" t="s">
        <v>0</v>
      </c>
      <c r="E59" s="1" t="s">
        <v>0</v>
      </c>
      <c r="F59" t="s">
        <v>114</v>
      </c>
      <c r="G59">
        <f>IF(C59="Selected", F59, "")</f>
      </c>
    </row>
    <row r="60" spans="1:7" x14ac:dyDescent="0.25">
      <c r="A60" t="s">
        <v>0</v>
      </c>
      <c r="B60" s="1" t="s">
        <v>115</v>
      </c>
      <c r="C60" s="9" t="s">
        <v>0</v>
      </c>
      <c r="D60" s="1" t="s">
        <v>0</v>
      </c>
      <c r="E60" s="1" t="s">
        <v>0</v>
      </c>
      <c r="F60" t="s">
        <v>116</v>
      </c>
      <c r="G60">
        <f>IF(C60="Selected", F60, "")</f>
      </c>
    </row>
    <row r="61" spans="1:7" x14ac:dyDescent="0.25">
      <c r="A61" t="s">
        <v>0</v>
      </c>
      <c r="B61" s="1" t="s">
        <v>117</v>
      </c>
      <c r="C61" s="9" t="s">
        <v>0</v>
      </c>
      <c r="D61" s="1" t="s">
        <v>0</v>
      </c>
      <c r="E61" s="1" t="s">
        <v>0</v>
      </c>
      <c r="F61" t="s">
        <v>118</v>
      </c>
      <c r="G61">
        <f>IF(C61="Selected", F61, "")</f>
      </c>
    </row>
    <row r="62" spans="1:7" x14ac:dyDescent="0.25">
      <c r="A62" t="s">
        <v>0</v>
      </c>
      <c r="B62" s="1" t="s">
        <v>119</v>
      </c>
      <c r="C62" s="9" t="s">
        <v>0</v>
      </c>
      <c r="D62" s="1" t="s">
        <v>0</v>
      </c>
      <c r="E62" s="1" t="s">
        <v>0</v>
      </c>
      <c r="F62" t="s">
        <v>120</v>
      </c>
      <c r="G62">
        <f>IF(C62="Selected", F62, "")</f>
      </c>
    </row>
    <row r="63" spans="1:7" x14ac:dyDescent="0.25">
      <c r="A63" t="s">
        <v>0</v>
      </c>
      <c r="B63" s="1" t="s">
        <v>121</v>
      </c>
      <c r="C63" s="9" t="s">
        <v>0</v>
      </c>
      <c r="D63" s="1" t="s">
        <v>0</v>
      </c>
      <c r="E63" s="1" t="s">
        <v>0</v>
      </c>
      <c r="F63" t="s">
        <v>122</v>
      </c>
      <c r="G63">
        <f>IF(C63="Selected", F63, "")</f>
      </c>
    </row>
    <row r="64" spans="1:7" x14ac:dyDescent="0.25">
      <c r="A64" t="s">
        <v>0</v>
      </c>
      <c r="B64" s="1" t="s">
        <v>61</v>
      </c>
      <c r="C64" s="9" t="s">
        <v>0</v>
      </c>
      <c r="D64" s="1" t="s">
        <v>0</v>
      </c>
      <c r="E64" s="1" t="s">
        <v>0</v>
      </c>
      <c r="F64" t="s">
        <v>62</v>
      </c>
      <c r="G64">
        <f>IF(C64="Selected", F64, "")</f>
      </c>
    </row>
    <row r="65" spans="1:1" x14ac:dyDescent="0.25">
      <c r="A65" t="s">
        <v>0</v>
      </c>
    </row>
    <row r="66" spans="1:7" x14ac:dyDescent="0.25">
      <c r="A66" t="s">
        <v>0</v>
      </c>
      <c r="B66" s="1" t="s">
        <v>123</v>
      </c>
      <c r="C66" s="5" t="s">
        <v>0</v>
      </c>
      <c r="D66" s="1" t="s">
        <v>0</v>
      </c>
      <c r="E66" s="1" t="s">
        <v>124</v>
      </c>
      <c r="F66" t="s">
        <v>125</v>
      </c>
      <c r="G66">
        <f>IFERROR(VLOOKUP(C66, 'ReferenceData'!$K$1:$L$8, 2, 0), "")</f>
      </c>
    </row>
    <row r="67" spans="1:6" x14ac:dyDescent="0.25">
      <c r="A67" t="s">
        <v>0</v>
      </c>
      <c r="B67" s="1" t="s">
        <v>126</v>
      </c>
      <c r="C67" s="5" t="s">
        <v>0</v>
      </c>
      <c r="D67" s="1" t="s">
        <v>0</v>
      </c>
      <c r="E67" s="1" t="s">
        <v>127</v>
      </c>
      <c r="F67" t="s">
        <v>128</v>
      </c>
    </row>
    <row r="68" spans="1:6" x14ac:dyDescent="0.25">
      <c r="A68" t="s">
        <v>0</v>
      </c>
      <c r="B68" s="1" t="s">
        <v>129</v>
      </c>
      <c r="C68" s="5" t="s">
        <v>0</v>
      </c>
      <c r="D68" s="1" t="s">
        <v>0</v>
      </c>
      <c r="E68" s="1" t="s">
        <v>130</v>
      </c>
      <c r="F68" t="s">
        <v>131</v>
      </c>
    </row>
    <row r="69" spans="1:1" x14ac:dyDescent="0.25">
      <c r="A69" t="s">
        <v>0</v>
      </c>
    </row>
    <row r="70" spans="1:6" s="7" customFormat="1" x14ac:dyDescent="0.25">
      <c r="A70" s="7" t="s">
        <v>0</v>
      </c>
      <c r="B70" s="8" t="s">
        <v>132</v>
      </c>
      <c r="C70" s="8" t="s">
        <v>0</v>
      </c>
      <c r="D70" s="8" t="s">
        <v>0</v>
      </c>
      <c r="E70" s="8" t="s">
        <v>133</v>
      </c>
      <c r="F70" s="7">
        <f>TEXTJOIN("; ", TRUE, G71:G87)</f>
      </c>
    </row>
    <row r="71" spans="1:7" x14ac:dyDescent="0.25">
      <c r="A71" t="s">
        <v>0</v>
      </c>
      <c r="B71" s="1" t="s">
        <v>134</v>
      </c>
      <c r="C71" s="9" t="s">
        <v>0</v>
      </c>
      <c r="D71" s="1" t="s">
        <v>0</v>
      </c>
      <c r="E71" s="1" t="s">
        <v>0</v>
      </c>
      <c r="F71" t="s">
        <v>135</v>
      </c>
      <c r="G71">
        <f>IF(C71="Selected", F71, "")</f>
      </c>
    </row>
    <row r="72" spans="1:7" x14ac:dyDescent="0.25">
      <c r="A72" t="s">
        <v>0</v>
      </c>
      <c r="B72" s="1" t="s">
        <v>136</v>
      </c>
      <c r="C72" s="9" t="s">
        <v>0</v>
      </c>
      <c r="D72" s="1" t="s">
        <v>0</v>
      </c>
      <c r="E72" s="1" t="s">
        <v>0</v>
      </c>
      <c r="F72" t="s">
        <v>137</v>
      </c>
      <c r="G72">
        <f>IF(C72="Selected", F72, "")</f>
      </c>
    </row>
    <row r="73" spans="1:7" x14ac:dyDescent="0.25">
      <c r="A73" t="s">
        <v>0</v>
      </c>
      <c r="B73" s="1" t="s">
        <v>138</v>
      </c>
      <c r="C73" s="9" t="s">
        <v>0</v>
      </c>
      <c r="D73" s="1" t="s">
        <v>0</v>
      </c>
      <c r="E73" s="1" t="s">
        <v>0</v>
      </c>
      <c r="F73" t="s">
        <v>139</v>
      </c>
      <c r="G73">
        <f>IF(C73="Selected", F73, "")</f>
      </c>
    </row>
    <row r="74" spans="1:7" x14ac:dyDescent="0.25">
      <c r="A74" t="s">
        <v>0</v>
      </c>
      <c r="B74" s="1" t="s">
        <v>140</v>
      </c>
      <c r="C74" s="9" t="s">
        <v>0</v>
      </c>
      <c r="D74" s="1" t="s">
        <v>0</v>
      </c>
      <c r="E74" s="1" t="s">
        <v>0</v>
      </c>
      <c r="F74" t="s">
        <v>141</v>
      </c>
      <c r="G74">
        <f>IF(C74="Selected", F74, "")</f>
      </c>
    </row>
    <row r="75" spans="1:7" x14ac:dyDescent="0.25">
      <c r="A75" t="s">
        <v>0</v>
      </c>
      <c r="B75" s="1" t="s">
        <v>142</v>
      </c>
      <c r="C75" s="9" t="s">
        <v>0</v>
      </c>
      <c r="D75" s="1" t="s">
        <v>0</v>
      </c>
      <c r="E75" s="1" t="s">
        <v>0</v>
      </c>
      <c r="F75" t="s">
        <v>143</v>
      </c>
      <c r="G75">
        <f>IF(C75="Selected", F75, "")</f>
      </c>
    </row>
    <row r="76" spans="1:7" x14ac:dyDescent="0.25">
      <c r="A76" t="s">
        <v>0</v>
      </c>
      <c r="B76" s="1" t="s">
        <v>144</v>
      </c>
      <c r="C76" s="9" t="s">
        <v>0</v>
      </c>
      <c r="D76" s="1" t="s">
        <v>0</v>
      </c>
      <c r="E76" s="1" t="s">
        <v>0</v>
      </c>
      <c r="F76" t="s">
        <v>145</v>
      </c>
      <c r="G76">
        <f>IF(C76="Selected", F76, "")</f>
      </c>
    </row>
    <row r="77" spans="1:7" x14ac:dyDescent="0.25">
      <c r="A77" t="s">
        <v>0</v>
      </c>
      <c r="B77" s="1" t="s">
        <v>146</v>
      </c>
      <c r="C77" s="9" t="s">
        <v>0</v>
      </c>
      <c r="D77" s="1" t="s">
        <v>0</v>
      </c>
      <c r="E77" s="1" t="s">
        <v>0</v>
      </c>
      <c r="F77" t="s">
        <v>147</v>
      </c>
      <c r="G77">
        <f>IF(C77="Selected", F77, "")</f>
      </c>
    </row>
    <row r="78" spans="1:7" x14ac:dyDescent="0.25">
      <c r="A78" t="s">
        <v>0</v>
      </c>
      <c r="B78" s="1" t="s">
        <v>148</v>
      </c>
      <c r="C78" s="9" t="s">
        <v>0</v>
      </c>
      <c r="D78" s="1" t="s">
        <v>0</v>
      </c>
      <c r="E78" s="1" t="s">
        <v>0</v>
      </c>
      <c r="F78" t="s">
        <v>149</v>
      </c>
      <c r="G78">
        <f>IF(C78="Selected", F78, "")</f>
      </c>
    </row>
    <row r="79" spans="1:7" x14ac:dyDescent="0.25">
      <c r="A79" t="s">
        <v>0</v>
      </c>
      <c r="B79" s="1" t="s">
        <v>150</v>
      </c>
      <c r="C79" s="9" t="s">
        <v>0</v>
      </c>
      <c r="D79" s="1" t="s">
        <v>0</v>
      </c>
      <c r="E79" s="1" t="s">
        <v>0</v>
      </c>
      <c r="F79" t="s">
        <v>151</v>
      </c>
      <c r="G79">
        <f>IF(C79="Selected", F79, "")</f>
      </c>
    </row>
    <row r="80" spans="1:7" x14ac:dyDescent="0.25">
      <c r="A80" t="s">
        <v>0</v>
      </c>
      <c r="B80" s="1" t="s">
        <v>152</v>
      </c>
      <c r="C80" s="9" t="s">
        <v>0</v>
      </c>
      <c r="D80" s="1" t="s">
        <v>0</v>
      </c>
      <c r="E80" s="1" t="s">
        <v>0</v>
      </c>
      <c r="F80" t="s">
        <v>153</v>
      </c>
      <c r="G80">
        <f>IF(C80="Selected", F80, "")</f>
      </c>
    </row>
    <row r="81" spans="1:7" x14ac:dyDescent="0.25">
      <c r="A81" t="s">
        <v>0</v>
      </c>
      <c r="B81" s="1" t="s">
        <v>154</v>
      </c>
      <c r="C81" s="9" t="s">
        <v>0</v>
      </c>
      <c r="D81" s="1" t="s">
        <v>0</v>
      </c>
      <c r="E81" s="1" t="s">
        <v>0</v>
      </c>
      <c r="F81" t="s">
        <v>155</v>
      </c>
      <c r="G81">
        <f>IF(C81="Selected", F81, "")</f>
      </c>
    </row>
    <row r="82" spans="1:7" x14ac:dyDescent="0.25">
      <c r="A82" t="s">
        <v>0</v>
      </c>
      <c r="B82" s="1" t="s">
        <v>156</v>
      </c>
      <c r="C82" s="9" t="s">
        <v>0</v>
      </c>
      <c r="D82" s="1" t="s">
        <v>0</v>
      </c>
      <c r="E82" s="1" t="s">
        <v>0</v>
      </c>
      <c r="F82" t="s">
        <v>157</v>
      </c>
      <c r="G82">
        <f>IF(C82="Selected", F82, "")</f>
      </c>
    </row>
    <row r="83" spans="1:7" x14ac:dyDescent="0.25">
      <c r="A83" t="s">
        <v>0</v>
      </c>
      <c r="B83" s="1" t="s">
        <v>158</v>
      </c>
      <c r="C83" s="9" t="s">
        <v>0</v>
      </c>
      <c r="D83" s="1" t="s">
        <v>0</v>
      </c>
      <c r="E83" s="1" t="s">
        <v>0</v>
      </c>
      <c r="F83" t="s">
        <v>159</v>
      </c>
      <c r="G83">
        <f>IF(C83="Selected", F83, "")</f>
      </c>
    </row>
    <row r="84" spans="1:7" x14ac:dyDescent="0.25">
      <c r="A84" t="s">
        <v>0</v>
      </c>
      <c r="B84" s="1" t="s">
        <v>160</v>
      </c>
      <c r="C84" s="9" t="s">
        <v>0</v>
      </c>
      <c r="D84" s="1" t="s">
        <v>0</v>
      </c>
      <c r="E84" s="1" t="s">
        <v>0</v>
      </c>
      <c r="F84" t="s">
        <v>161</v>
      </c>
      <c r="G84">
        <f>IF(C84="Selected", F84, "")</f>
      </c>
    </row>
    <row r="85" spans="1:7" x14ac:dyDescent="0.25">
      <c r="A85" t="s">
        <v>0</v>
      </c>
      <c r="B85" s="1" t="s">
        <v>162</v>
      </c>
      <c r="C85" s="9" t="s">
        <v>0</v>
      </c>
      <c r="D85" s="1" t="s">
        <v>0</v>
      </c>
      <c r="E85" s="1" t="s">
        <v>0</v>
      </c>
      <c r="F85" t="s">
        <v>163</v>
      </c>
      <c r="G85">
        <f>IF(C85="Selected", F85, "")</f>
      </c>
    </row>
    <row r="86" spans="1:7" x14ac:dyDescent="0.25">
      <c r="A86" t="s">
        <v>0</v>
      </c>
      <c r="B86" s="1" t="s">
        <v>164</v>
      </c>
      <c r="C86" s="9" t="s">
        <v>0</v>
      </c>
      <c r="D86" s="1" t="s">
        <v>0</v>
      </c>
      <c r="E86" s="1" t="s">
        <v>0</v>
      </c>
      <c r="F86" t="s">
        <v>165</v>
      </c>
      <c r="G86">
        <f>IF(C86="Selected", F86, "")</f>
      </c>
    </row>
    <row r="87" spans="1:7" x14ac:dyDescent="0.25">
      <c r="A87" t="s">
        <v>0</v>
      </c>
      <c r="B87" s="1" t="s">
        <v>166</v>
      </c>
      <c r="C87" s="9" t="s">
        <v>0</v>
      </c>
      <c r="D87" s="1" t="s">
        <v>0</v>
      </c>
      <c r="E87" s="1" t="s">
        <v>0</v>
      </c>
      <c r="F87" t="s">
        <v>167</v>
      </c>
      <c r="G87">
        <f>IF(C87="Selected", F87, "")</f>
      </c>
    </row>
    <row r="88" spans="1:1" x14ac:dyDescent="0.25">
      <c r="A88" t="s">
        <v>0</v>
      </c>
    </row>
    <row r="89" ht="48" customHeight="1" spans="1:7" x14ac:dyDescent="0.25">
      <c r="A89" s="3" t="s">
        <v>168</v>
      </c>
      <c r="B89" s="3"/>
      <c r="C89" s="3"/>
      <c r="D89" s="3"/>
      <c r="E89" s="3"/>
      <c r="F89" t="s">
        <v>0</v>
      </c>
      <c r="G89" t="s">
        <v>0</v>
      </c>
    </row>
    <row r="90" ht="32" customHeight="1" spans="1:7" x14ac:dyDescent="0.25">
      <c r="A90" s="4" t="s">
        <v>169</v>
      </c>
      <c r="B90" s="4"/>
      <c r="C90" s="4"/>
      <c r="D90" s="4"/>
      <c r="E90" s="4"/>
      <c r="F90" t="s">
        <v>0</v>
      </c>
      <c r="G90" t="s">
        <v>0</v>
      </c>
    </row>
    <row r="91" spans="1:6" x14ac:dyDescent="0.25">
      <c r="A91" t="s">
        <v>0</v>
      </c>
      <c r="B91" s="1" t="s">
        <v>170</v>
      </c>
      <c r="C91" s="5" t="s">
        <v>0</v>
      </c>
      <c r="D91" s="1" t="s">
        <v>0</v>
      </c>
      <c r="E91" s="1" t="s">
        <v>171</v>
      </c>
      <c r="F91" t="s">
        <v>172</v>
      </c>
    </row>
    <row r="92" spans="1:6" x14ac:dyDescent="0.25">
      <c r="A92" t="s">
        <v>0</v>
      </c>
      <c r="B92" s="1" t="s">
        <v>173</v>
      </c>
      <c r="C92" s="5" t="s">
        <v>0</v>
      </c>
      <c r="D92" s="1" t="s">
        <v>0</v>
      </c>
      <c r="E92" s="1" t="s">
        <v>174</v>
      </c>
      <c r="F92" t="s">
        <v>175</v>
      </c>
    </row>
    <row r="93" spans="1:7" x14ac:dyDescent="0.25">
      <c r="A93" t="s">
        <v>0</v>
      </c>
      <c r="B93" s="1" t="s">
        <v>176</v>
      </c>
      <c r="C93" s="5" t="s">
        <v>0</v>
      </c>
      <c r="D93" s="1" t="s">
        <v>0</v>
      </c>
      <c r="E93" s="1" t="s">
        <v>26</v>
      </c>
      <c r="F93" t="s">
        <v>177</v>
      </c>
      <c r="G93">
        <f>IFERROR(VLOOKUP(C93, 'ReferenceData'!$M$1:$N$2, 2, 0), "")</f>
      </c>
    </row>
    <row r="94" spans="1:1" x14ac:dyDescent="0.25">
      <c r="A94" t="s">
        <v>0</v>
      </c>
    </row>
    <row r="95" spans="1:6" s="7" customFormat="1" x14ac:dyDescent="0.25">
      <c r="A95" s="7" t="s">
        <v>0</v>
      </c>
      <c r="B95" s="8" t="s">
        <v>178</v>
      </c>
      <c r="C95" s="8" t="s">
        <v>0</v>
      </c>
      <c r="D95" s="8" t="s">
        <v>0</v>
      </c>
      <c r="E95" s="8" t="s">
        <v>0</v>
      </c>
      <c r="F95" s="7">
        <f>TEXTJOIN("; ", TRUE, G96:G125)</f>
      </c>
    </row>
    <row r="96" spans="1:7" x14ac:dyDescent="0.25">
      <c r="A96" t="s">
        <v>0</v>
      </c>
      <c r="B96" s="1" t="s">
        <v>179</v>
      </c>
      <c r="C96" s="9" t="s">
        <v>0</v>
      </c>
      <c r="D96" s="1" t="s">
        <v>0</v>
      </c>
      <c r="E96" s="1" t="s">
        <v>0</v>
      </c>
      <c r="F96" t="s">
        <v>180</v>
      </c>
      <c r="G96">
        <f>IF(C96="Selected", F96, "")</f>
      </c>
    </row>
    <row r="97" spans="1:7" x14ac:dyDescent="0.25">
      <c r="A97" t="s">
        <v>0</v>
      </c>
      <c r="B97" s="1" t="s">
        <v>181</v>
      </c>
      <c r="C97" s="9" t="s">
        <v>0</v>
      </c>
      <c r="D97" s="1" t="s">
        <v>0</v>
      </c>
      <c r="E97" s="1" t="s">
        <v>0</v>
      </c>
      <c r="F97" t="s">
        <v>182</v>
      </c>
      <c r="G97">
        <f>IF(C97="Selected", F97, "")</f>
      </c>
    </row>
    <row r="98" spans="1:7" x14ac:dyDescent="0.25">
      <c r="A98" t="s">
        <v>0</v>
      </c>
      <c r="B98" s="1" t="s">
        <v>183</v>
      </c>
      <c r="C98" s="9" t="s">
        <v>0</v>
      </c>
      <c r="D98" s="1" t="s">
        <v>0</v>
      </c>
      <c r="E98" s="1" t="s">
        <v>0</v>
      </c>
      <c r="F98" t="s">
        <v>184</v>
      </c>
      <c r="G98">
        <f>IF(C98="Selected", F98, "")</f>
      </c>
    </row>
    <row r="99" spans="1:7" x14ac:dyDescent="0.25">
      <c r="A99" t="s">
        <v>0</v>
      </c>
      <c r="B99" s="1" t="s">
        <v>185</v>
      </c>
      <c r="C99" s="9" t="s">
        <v>0</v>
      </c>
      <c r="D99" s="1" t="s">
        <v>0</v>
      </c>
      <c r="E99" s="1" t="s">
        <v>0</v>
      </c>
      <c r="F99" t="s">
        <v>186</v>
      </c>
      <c r="G99">
        <f>IF(C99="Selected", F99, "")</f>
      </c>
    </row>
    <row r="100" spans="1:7" x14ac:dyDescent="0.25">
      <c r="A100" t="s">
        <v>0</v>
      </c>
      <c r="B100" s="1" t="s">
        <v>187</v>
      </c>
      <c r="C100" s="9" t="s">
        <v>0</v>
      </c>
      <c r="D100" s="1" t="s">
        <v>0</v>
      </c>
      <c r="E100" s="1" t="s">
        <v>0</v>
      </c>
      <c r="F100" t="s">
        <v>188</v>
      </c>
      <c r="G100">
        <f>IF(C100="Selected", F100, "")</f>
      </c>
    </row>
    <row r="101" spans="1:7" x14ac:dyDescent="0.25">
      <c r="A101" t="s">
        <v>0</v>
      </c>
      <c r="B101" s="1" t="s">
        <v>189</v>
      </c>
      <c r="C101" s="9" t="s">
        <v>0</v>
      </c>
      <c r="D101" s="1" t="s">
        <v>0</v>
      </c>
      <c r="E101" s="1" t="s">
        <v>0</v>
      </c>
      <c r="F101" t="s">
        <v>190</v>
      </c>
      <c r="G101">
        <f>IF(C101="Selected", F101, "")</f>
      </c>
    </row>
    <row r="102" spans="1:7" x14ac:dyDescent="0.25">
      <c r="A102" t="s">
        <v>0</v>
      </c>
      <c r="B102" s="1" t="s">
        <v>191</v>
      </c>
      <c r="C102" s="9" t="s">
        <v>0</v>
      </c>
      <c r="D102" s="1" t="s">
        <v>0</v>
      </c>
      <c r="E102" s="1" t="s">
        <v>0</v>
      </c>
      <c r="F102" t="s">
        <v>192</v>
      </c>
      <c r="G102">
        <f>IF(C102="Selected", F102, "")</f>
      </c>
    </row>
    <row r="103" spans="1:7" x14ac:dyDescent="0.25">
      <c r="A103" t="s">
        <v>0</v>
      </c>
      <c r="B103" s="1" t="s">
        <v>193</v>
      </c>
      <c r="C103" s="9" t="s">
        <v>0</v>
      </c>
      <c r="D103" s="1" t="s">
        <v>0</v>
      </c>
      <c r="E103" s="1" t="s">
        <v>0</v>
      </c>
      <c r="F103" t="s">
        <v>194</v>
      </c>
      <c r="G103">
        <f>IF(C103="Selected", F103, "")</f>
      </c>
    </row>
    <row r="104" spans="1:7" x14ac:dyDescent="0.25">
      <c r="A104" t="s">
        <v>0</v>
      </c>
      <c r="B104" s="1" t="s">
        <v>195</v>
      </c>
      <c r="C104" s="9" t="s">
        <v>0</v>
      </c>
      <c r="D104" s="1" t="s">
        <v>0</v>
      </c>
      <c r="E104" s="1" t="s">
        <v>0</v>
      </c>
      <c r="F104" t="s">
        <v>196</v>
      </c>
      <c r="G104">
        <f>IF(C104="Selected", F104, "")</f>
      </c>
    </row>
    <row r="105" spans="1:7" x14ac:dyDescent="0.25">
      <c r="A105" t="s">
        <v>0</v>
      </c>
      <c r="B105" s="1" t="s">
        <v>197</v>
      </c>
      <c r="C105" s="9" t="s">
        <v>0</v>
      </c>
      <c r="D105" s="1" t="s">
        <v>0</v>
      </c>
      <c r="E105" s="1" t="s">
        <v>0</v>
      </c>
      <c r="F105" t="s">
        <v>198</v>
      </c>
      <c r="G105">
        <f>IF(C105="Selected", F105, "")</f>
      </c>
    </row>
    <row r="106" spans="1:7" x14ac:dyDescent="0.25">
      <c r="A106" t="s">
        <v>0</v>
      </c>
      <c r="B106" s="1" t="s">
        <v>199</v>
      </c>
      <c r="C106" s="9" t="s">
        <v>0</v>
      </c>
      <c r="D106" s="1" t="s">
        <v>0</v>
      </c>
      <c r="E106" s="1" t="s">
        <v>0</v>
      </c>
      <c r="F106" t="s">
        <v>200</v>
      </c>
      <c r="G106">
        <f>IF(C106="Selected", F106, "")</f>
      </c>
    </row>
    <row r="107" spans="1:7" x14ac:dyDescent="0.25">
      <c r="A107" t="s">
        <v>0</v>
      </c>
      <c r="B107" s="1" t="s">
        <v>201</v>
      </c>
      <c r="C107" s="9" t="s">
        <v>0</v>
      </c>
      <c r="D107" s="1" t="s">
        <v>0</v>
      </c>
      <c r="E107" s="1" t="s">
        <v>0</v>
      </c>
      <c r="F107" t="s">
        <v>202</v>
      </c>
      <c r="G107">
        <f>IF(C107="Selected", F107, "")</f>
      </c>
    </row>
    <row r="108" spans="1:7" x14ac:dyDescent="0.25">
      <c r="A108" t="s">
        <v>0</v>
      </c>
      <c r="B108" s="1" t="s">
        <v>203</v>
      </c>
      <c r="C108" s="9" t="s">
        <v>0</v>
      </c>
      <c r="D108" s="1" t="s">
        <v>0</v>
      </c>
      <c r="E108" s="1" t="s">
        <v>0</v>
      </c>
      <c r="F108" t="s">
        <v>204</v>
      </c>
      <c r="G108">
        <f>IF(C108="Selected", F108, "")</f>
      </c>
    </row>
    <row r="109" spans="1:7" x14ac:dyDescent="0.25">
      <c r="A109" t="s">
        <v>0</v>
      </c>
      <c r="B109" s="1" t="s">
        <v>205</v>
      </c>
      <c r="C109" s="9" t="s">
        <v>0</v>
      </c>
      <c r="D109" s="1" t="s">
        <v>0</v>
      </c>
      <c r="E109" s="1" t="s">
        <v>0</v>
      </c>
      <c r="F109" t="s">
        <v>206</v>
      </c>
      <c r="G109">
        <f>IF(C109="Selected", F109, "")</f>
      </c>
    </row>
    <row r="110" spans="1:7" x14ac:dyDescent="0.25">
      <c r="A110" t="s">
        <v>0</v>
      </c>
      <c r="B110" s="1" t="s">
        <v>207</v>
      </c>
      <c r="C110" s="9" t="s">
        <v>0</v>
      </c>
      <c r="D110" s="1" t="s">
        <v>0</v>
      </c>
      <c r="E110" s="1" t="s">
        <v>0</v>
      </c>
      <c r="F110" t="s">
        <v>208</v>
      </c>
      <c r="G110">
        <f>IF(C110="Selected", F110, "")</f>
      </c>
    </row>
    <row r="111" spans="1:7" x14ac:dyDescent="0.25">
      <c r="A111" t="s">
        <v>0</v>
      </c>
      <c r="B111" s="1" t="s">
        <v>209</v>
      </c>
      <c r="C111" s="9" t="s">
        <v>0</v>
      </c>
      <c r="D111" s="1" t="s">
        <v>0</v>
      </c>
      <c r="E111" s="1" t="s">
        <v>0</v>
      </c>
      <c r="F111" t="s">
        <v>210</v>
      </c>
      <c r="G111">
        <f>IF(C111="Selected", F111, "")</f>
      </c>
    </row>
    <row r="112" spans="1:7" x14ac:dyDescent="0.25">
      <c r="A112" t="s">
        <v>0</v>
      </c>
      <c r="B112" s="1" t="s">
        <v>211</v>
      </c>
      <c r="C112" s="9" t="s">
        <v>0</v>
      </c>
      <c r="D112" s="1" t="s">
        <v>0</v>
      </c>
      <c r="E112" s="1" t="s">
        <v>0</v>
      </c>
      <c r="F112" t="s">
        <v>212</v>
      </c>
      <c r="G112">
        <f>IF(C112="Selected", F112, "")</f>
      </c>
    </row>
    <row r="113" spans="1:7" x14ac:dyDescent="0.25">
      <c r="A113" t="s">
        <v>0</v>
      </c>
      <c r="B113" s="1" t="s">
        <v>213</v>
      </c>
      <c r="C113" s="9" t="s">
        <v>0</v>
      </c>
      <c r="D113" s="1" t="s">
        <v>0</v>
      </c>
      <c r="E113" s="1" t="s">
        <v>0</v>
      </c>
      <c r="F113" t="s">
        <v>214</v>
      </c>
      <c r="G113">
        <f>IF(C113="Selected", F113, "")</f>
      </c>
    </row>
    <row r="114" spans="1:7" x14ac:dyDescent="0.25">
      <c r="A114" t="s">
        <v>0</v>
      </c>
      <c r="B114" s="1" t="s">
        <v>215</v>
      </c>
      <c r="C114" s="9" t="s">
        <v>0</v>
      </c>
      <c r="D114" s="1" t="s">
        <v>0</v>
      </c>
      <c r="E114" s="1" t="s">
        <v>0</v>
      </c>
      <c r="F114" t="s">
        <v>216</v>
      </c>
      <c r="G114">
        <f>IF(C114="Selected", F114, "")</f>
      </c>
    </row>
    <row r="115" spans="1:7" x14ac:dyDescent="0.25">
      <c r="A115" t="s">
        <v>0</v>
      </c>
      <c r="B115" s="1" t="s">
        <v>217</v>
      </c>
      <c r="C115" s="9" t="s">
        <v>0</v>
      </c>
      <c r="D115" s="1" t="s">
        <v>0</v>
      </c>
      <c r="E115" s="1" t="s">
        <v>0</v>
      </c>
      <c r="F115" t="s">
        <v>218</v>
      </c>
      <c r="G115">
        <f>IF(C115="Selected", F115, "")</f>
      </c>
    </row>
    <row r="116" spans="1:7" x14ac:dyDescent="0.25">
      <c r="A116" t="s">
        <v>0</v>
      </c>
      <c r="B116" s="1" t="s">
        <v>219</v>
      </c>
      <c r="C116" s="9" t="s">
        <v>0</v>
      </c>
      <c r="D116" s="1" t="s">
        <v>0</v>
      </c>
      <c r="E116" s="1" t="s">
        <v>0</v>
      </c>
      <c r="F116" t="s">
        <v>220</v>
      </c>
      <c r="G116">
        <f>IF(C116="Selected", F116, "")</f>
      </c>
    </row>
    <row r="117" spans="1:7" x14ac:dyDescent="0.25">
      <c r="A117" t="s">
        <v>0</v>
      </c>
      <c r="B117" s="1" t="s">
        <v>221</v>
      </c>
      <c r="C117" s="9" t="s">
        <v>0</v>
      </c>
      <c r="D117" s="1" t="s">
        <v>0</v>
      </c>
      <c r="E117" s="1" t="s">
        <v>0</v>
      </c>
      <c r="F117" t="s">
        <v>222</v>
      </c>
      <c r="G117">
        <f>IF(C117="Selected", F117, "")</f>
      </c>
    </row>
    <row r="118" spans="1:7" x14ac:dyDescent="0.25">
      <c r="A118" t="s">
        <v>0</v>
      </c>
      <c r="B118" s="1" t="s">
        <v>223</v>
      </c>
      <c r="C118" s="9" t="s">
        <v>0</v>
      </c>
      <c r="D118" s="1" t="s">
        <v>0</v>
      </c>
      <c r="E118" s="1" t="s">
        <v>0</v>
      </c>
      <c r="F118" t="s">
        <v>224</v>
      </c>
      <c r="G118">
        <f>IF(C118="Selected", F118, "")</f>
      </c>
    </row>
    <row r="119" spans="1:7" x14ac:dyDescent="0.25">
      <c r="A119" t="s">
        <v>0</v>
      </c>
      <c r="B119" s="1" t="s">
        <v>225</v>
      </c>
      <c r="C119" s="9" t="s">
        <v>0</v>
      </c>
      <c r="D119" s="1" t="s">
        <v>0</v>
      </c>
      <c r="E119" s="1" t="s">
        <v>0</v>
      </c>
      <c r="F119" t="s">
        <v>226</v>
      </c>
      <c r="G119">
        <f>IF(C119="Selected", F119, "")</f>
      </c>
    </row>
    <row r="120" spans="1:7" x14ac:dyDescent="0.25">
      <c r="A120" t="s">
        <v>0</v>
      </c>
      <c r="B120" s="1" t="s">
        <v>227</v>
      </c>
      <c r="C120" s="9" t="s">
        <v>0</v>
      </c>
      <c r="D120" s="1" t="s">
        <v>0</v>
      </c>
      <c r="E120" s="1" t="s">
        <v>0</v>
      </c>
      <c r="F120" t="s">
        <v>228</v>
      </c>
      <c r="G120">
        <f>IF(C120="Selected", F120, "")</f>
      </c>
    </row>
    <row r="121" spans="1:7" x14ac:dyDescent="0.25">
      <c r="A121" t="s">
        <v>0</v>
      </c>
      <c r="B121" s="1" t="s">
        <v>229</v>
      </c>
      <c r="C121" s="9" t="s">
        <v>0</v>
      </c>
      <c r="D121" s="1" t="s">
        <v>0</v>
      </c>
      <c r="E121" s="1" t="s">
        <v>0</v>
      </c>
      <c r="F121" t="s">
        <v>230</v>
      </c>
      <c r="G121">
        <f>IF(C121="Selected", F121, "")</f>
      </c>
    </row>
    <row r="122" spans="1:7" x14ac:dyDescent="0.25">
      <c r="A122" t="s">
        <v>0</v>
      </c>
      <c r="B122" s="1" t="s">
        <v>231</v>
      </c>
      <c r="C122" s="9" t="s">
        <v>0</v>
      </c>
      <c r="D122" s="1" t="s">
        <v>0</v>
      </c>
      <c r="E122" s="1" t="s">
        <v>0</v>
      </c>
      <c r="F122" t="s">
        <v>232</v>
      </c>
      <c r="G122">
        <f>IF(C122="Selected", F122, "")</f>
      </c>
    </row>
    <row r="123" spans="1:7" x14ac:dyDescent="0.25">
      <c r="A123" t="s">
        <v>0</v>
      </c>
      <c r="B123" s="1" t="s">
        <v>233</v>
      </c>
      <c r="C123" s="9" t="s">
        <v>0</v>
      </c>
      <c r="D123" s="1" t="s">
        <v>0</v>
      </c>
      <c r="E123" s="1" t="s">
        <v>0</v>
      </c>
      <c r="F123" t="s">
        <v>234</v>
      </c>
      <c r="G123">
        <f>IF(C123="Selected", F123, "")</f>
      </c>
    </row>
    <row r="124" spans="1:7" x14ac:dyDescent="0.25">
      <c r="A124" t="s">
        <v>0</v>
      </c>
      <c r="B124" s="1" t="s">
        <v>235</v>
      </c>
      <c r="C124" s="9" t="s">
        <v>0</v>
      </c>
      <c r="D124" s="1" t="s">
        <v>0</v>
      </c>
      <c r="E124" s="1" t="s">
        <v>0</v>
      </c>
      <c r="F124" t="s">
        <v>236</v>
      </c>
      <c r="G124">
        <f>IF(C124="Selected", F124, "")</f>
      </c>
    </row>
    <row r="125" spans="1:7" x14ac:dyDescent="0.25">
      <c r="A125" t="s">
        <v>0</v>
      </c>
      <c r="B125" s="1" t="s">
        <v>237</v>
      </c>
      <c r="C125" s="9" t="s">
        <v>0</v>
      </c>
      <c r="D125" s="1" t="s">
        <v>0</v>
      </c>
      <c r="E125" s="1" t="s">
        <v>0</v>
      </c>
      <c r="F125" t="s">
        <v>238</v>
      </c>
      <c r="G125">
        <f>IF(C125="Selected", F125, "")</f>
      </c>
    </row>
    <row r="126" spans="1:1" x14ac:dyDescent="0.25">
      <c r="A126" t="s">
        <v>0</v>
      </c>
    </row>
    <row r="127" spans="1:7" x14ac:dyDescent="0.25">
      <c r="A127" t="s">
        <v>0</v>
      </c>
      <c r="B127" s="1" t="s">
        <v>239</v>
      </c>
      <c r="C127" s="5" t="s">
        <v>0</v>
      </c>
      <c r="D127" s="1" t="s">
        <v>0</v>
      </c>
      <c r="E127" s="1" t="s">
        <v>26</v>
      </c>
      <c r="F127" t="s">
        <v>240</v>
      </c>
      <c r="G127">
        <f>IFERROR(VLOOKUP(C127, 'ReferenceData'!$O$1:$P$2, 2, 0), "")</f>
      </c>
    </row>
    <row r="128" spans="1:7" x14ac:dyDescent="0.25">
      <c r="A128" t="s">
        <v>0</v>
      </c>
      <c r="B128" s="6" t="s">
        <v>241</v>
      </c>
      <c r="C128" s="1" t="s">
        <v>0</v>
      </c>
      <c r="D128" s="1" t="s">
        <v>0</v>
      </c>
      <c r="E128" s="1" t="s">
        <v>0</v>
      </c>
      <c r="F128" t="s">
        <v>0</v>
      </c>
      <c r="G128" t="s">
        <v>0</v>
      </c>
    </row>
    <row r="129" spans="1:1" x14ac:dyDescent="0.25">
      <c r="A129" t="s">
        <v>0</v>
      </c>
    </row>
    <row r="130" spans="1:6" s="7" customFormat="1" x14ac:dyDescent="0.25">
      <c r="A130" s="7" t="s">
        <v>0</v>
      </c>
      <c r="B130" s="8" t="s">
        <v>242</v>
      </c>
      <c r="C130" s="8" t="s">
        <v>0</v>
      </c>
      <c r="D130" s="8" t="s">
        <v>0</v>
      </c>
      <c r="E130" s="8" t="s">
        <v>243</v>
      </c>
      <c r="F130" s="7">
        <f>TEXTJOIN("; ", TRUE, G131:G297)</f>
      </c>
    </row>
    <row r="131" spans="1:7" x14ac:dyDescent="0.25">
      <c r="A131" t="s">
        <v>0</v>
      </c>
      <c r="B131" s="1" t="s">
        <v>244</v>
      </c>
      <c r="C131" s="9" t="s">
        <v>0</v>
      </c>
      <c r="D131" s="1" t="s">
        <v>0</v>
      </c>
      <c r="E131" s="1" t="s">
        <v>0</v>
      </c>
      <c r="F131" t="s">
        <v>245</v>
      </c>
      <c r="G131">
        <f>IF(C131="Selected", F131, "")</f>
      </c>
    </row>
    <row r="132" spans="1:7" x14ac:dyDescent="0.25">
      <c r="A132" t="s">
        <v>0</v>
      </c>
      <c r="B132" s="1" t="s">
        <v>246</v>
      </c>
      <c r="C132" s="9" t="s">
        <v>0</v>
      </c>
      <c r="D132" s="1" t="s">
        <v>0</v>
      </c>
      <c r="E132" s="1" t="s">
        <v>0</v>
      </c>
      <c r="F132" t="s">
        <v>247</v>
      </c>
      <c r="G132">
        <f>IF(C132="Selected", F132, "")</f>
      </c>
    </row>
    <row r="133" spans="1:7" x14ac:dyDescent="0.25">
      <c r="A133" t="s">
        <v>0</v>
      </c>
      <c r="B133" s="1" t="s">
        <v>248</v>
      </c>
      <c r="C133" s="9" t="s">
        <v>0</v>
      </c>
      <c r="D133" s="1" t="s">
        <v>0</v>
      </c>
      <c r="E133" s="1" t="s">
        <v>0</v>
      </c>
      <c r="F133" t="s">
        <v>249</v>
      </c>
      <c r="G133">
        <f>IF(C133="Selected", F133, "")</f>
      </c>
    </row>
    <row r="134" spans="1:7" x14ac:dyDescent="0.25">
      <c r="A134" t="s">
        <v>0</v>
      </c>
      <c r="B134" s="1" t="s">
        <v>250</v>
      </c>
      <c r="C134" s="9" t="s">
        <v>0</v>
      </c>
      <c r="D134" s="1" t="s">
        <v>0</v>
      </c>
      <c r="E134" s="1" t="s">
        <v>0</v>
      </c>
      <c r="F134" t="s">
        <v>251</v>
      </c>
      <c r="G134">
        <f>IF(C134="Selected", F134, "")</f>
      </c>
    </row>
    <row r="135" spans="1:7" x14ac:dyDescent="0.25">
      <c r="A135" t="s">
        <v>0</v>
      </c>
      <c r="B135" s="1" t="s">
        <v>252</v>
      </c>
      <c r="C135" s="9" t="s">
        <v>0</v>
      </c>
      <c r="D135" s="1" t="s">
        <v>0</v>
      </c>
      <c r="E135" s="1" t="s">
        <v>0</v>
      </c>
      <c r="F135" t="s">
        <v>253</v>
      </c>
      <c r="G135">
        <f>IF(C135="Selected", F135, "")</f>
      </c>
    </row>
    <row r="136" spans="1:7" x14ac:dyDescent="0.25">
      <c r="A136" t="s">
        <v>0</v>
      </c>
      <c r="B136" s="1" t="s">
        <v>254</v>
      </c>
      <c r="C136" s="9" t="s">
        <v>0</v>
      </c>
      <c r="D136" s="1" t="s">
        <v>0</v>
      </c>
      <c r="E136" s="1" t="s">
        <v>0</v>
      </c>
      <c r="F136" t="s">
        <v>255</v>
      </c>
      <c r="G136">
        <f>IF(C136="Selected", F136, "")</f>
      </c>
    </row>
    <row r="137" spans="1:7" x14ac:dyDescent="0.25">
      <c r="A137" t="s">
        <v>0</v>
      </c>
      <c r="B137" s="1" t="s">
        <v>256</v>
      </c>
      <c r="C137" s="9" t="s">
        <v>0</v>
      </c>
      <c r="D137" s="1" t="s">
        <v>0</v>
      </c>
      <c r="E137" s="1" t="s">
        <v>0</v>
      </c>
      <c r="F137" t="s">
        <v>257</v>
      </c>
      <c r="G137">
        <f>IF(C137="Selected", F137, "")</f>
      </c>
    </row>
    <row r="138" spans="1:7" x14ac:dyDescent="0.25">
      <c r="A138" t="s">
        <v>0</v>
      </c>
      <c r="B138" s="1" t="s">
        <v>258</v>
      </c>
      <c r="C138" s="9" t="s">
        <v>0</v>
      </c>
      <c r="D138" s="1" t="s">
        <v>0</v>
      </c>
      <c r="E138" s="1" t="s">
        <v>0</v>
      </c>
      <c r="F138" t="s">
        <v>259</v>
      </c>
      <c r="G138">
        <f>IF(C138="Selected", F138, "")</f>
      </c>
    </row>
    <row r="139" spans="1:7" x14ac:dyDescent="0.25">
      <c r="A139" t="s">
        <v>0</v>
      </c>
      <c r="B139" s="1" t="s">
        <v>260</v>
      </c>
      <c r="C139" s="9" t="s">
        <v>0</v>
      </c>
      <c r="D139" s="1" t="s">
        <v>0</v>
      </c>
      <c r="E139" s="1" t="s">
        <v>0</v>
      </c>
      <c r="F139" t="s">
        <v>261</v>
      </c>
      <c r="G139">
        <f>IF(C139="Selected", F139, "")</f>
      </c>
    </row>
    <row r="140" spans="1:7" x14ac:dyDescent="0.25">
      <c r="A140" t="s">
        <v>0</v>
      </c>
      <c r="B140" s="1" t="s">
        <v>262</v>
      </c>
      <c r="C140" s="9" t="s">
        <v>0</v>
      </c>
      <c r="D140" s="1" t="s">
        <v>0</v>
      </c>
      <c r="E140" s="1" t="s">
        <v>0</v>
      </c>
      <c r="F140" t="s">
        <v>263</v>
      </c>
      <c r="G140">
        <f>IF(C140="Selected", F140, "")</f>
      </c>
    </row>
    <row r="141" spans="1:7" x14ac:dyDescent="0.25">
      <c r="A141" t="s">
        <v>0</v>
      </c>
      <c r="B141" s="1" t="s">
        <v>264</v>
      </c>
      <c r="C141" s="9" t="s">
        <v>0</v>
      </c>
      <c r="D141" s="1" t="s">
        <v>0</v>
      </c>
      <c r="E141" s="1" t="s">
        <v>0</v>
      </c>
      <c r="F141" t="s">
        <v>265</v>
      </c>
      <c r="G141">
        <f>IF(C141="Selected", F141, "")</f>
      </c>
    </row>
    <row r="142" spans="1:7" x14ac:dyDescent="0.25">
      <c r="A142" t="s">
        <v>0</v>
      </c>
      <c r="B142" s="1" t="s">
        <v>266</v>
      </c>
      <c r="C142" s="9" t="s">
        <v>0</v>
      </c>
      <c r="D142" s="1" t="s">
        <v>0</v>
      </c>
      <c r="E142" s="1" t="s">
        <v>0</v>
      </c>
      <c r="F142" t="s">
        <v>267</v>
      </c>
      <c r="G142">
        <f>IF(C142="Selected", F142, "")</f>
      </c>
    </row>
    <row r="143" spans="1:7" x14ac:dyDescent="0.25">
      <c r="A143" t="s">
        <v>0</v>
      </c>
      <c r="B143" s="1" t="s">
        <v>268</v>
      </c>
      <c r="C143" s="9" t="s">
        <v>0</v>
      </c>
      <c r="D143" s="1" t="s">
        <v>0</v>
      </c>
      <c r="E143" s="1" t="s">
        <v>0</v>
      </c>
      <c r="F143" t="s">
        <v>269</v>
      </c>
      <c r="G143">
        <f>IF(C143="Selected", F143, "")</f>
      </c>
    </row>
    <row r="144" spans="1:7" x14ac:dyDescent="0.25">
      <c r="A144" t="s">
        <v>0</v>
      </c>
      <c r="B144" s="1" t="s">
        <v>270</v>
      </c>
      <c r="C144" s="9" t="s">
        <v>0</v>
      </c>
      <c r="D144" s="1" t="s">
        <v>0</v>
      </c>
      <c r="E144" s="1" t="s">
        <v>0</v>
      </c>
      <c r="F144" t="s">
        <v>271</v>
      </c>
      <c r="G144">
        <f>IF(C144="Selected", F144, "")</f>
      </c>
    </row>
    <row r="145" spans="1:7" x14ac:dyDescent="0.25">
      <c r="A145" t="s">
        <v>0</v>
      </c>
      <c r="B145" s="1" t="s">
        <v>272</v>
      </c>
      <c r="C145" s="9" t="s">
        <v>0</v>
      </c>
      <c r="D145" s="1" t="s">
        <v>0</v>
      </c>
      <c r="E145" s="1" t="s">
        <v>0</v>
      </c>
      <c r="F145" t="s">
        <v>273</v>
      </c>
      <c r="G145">
        <f>IF(C145="Selected", F145, "")</f>
      </c>
    </row>
    <row r="146" spans="1:7" x14ac:dyDescent="0.25">
      <c r="A146" t="s">
        <v>0</v>
      </c>
      <c r="B146" s="1" t="s">
        <v>274</v>
      </c>
      <c r="C146" s="9" t="s">
        <v>0</v>
      </c>
      <c r="D146" s="1" t="s">
        <v>0</v>
      </c>
      <c r="E146" s="1" t="s">
        <v>0</v>
      </c>
      <c r="F146" t="s">
        <v>275</v>
      </c>
      <c r="G146">
        <f>IF(C146="Selected", F146, "")</f>
      </c>
    </row>
    <row r="147" spans="1:7" x14ac:dyDescent="0.25">
      <c r="A147" t="s">
        <v>0</v>
      </c>
      <c r="B147" s="1" t="s">
        <v>276</v>
      </c>
      <c r="C147" s="9" t="s">
        <v>0</v>
      </c>
      <c r="D147" s="1" t="s">
        <v>0</v>
      </c>
      <c r="E147" s="1" t="s">
        <v>0</v>
      </c>
      <c r="F147" t="s">
        <v>277</v>
      </c>
      <c r="G147">
        <f>IF(C147="Selected", F147, "")</f>
      </c>
    </row>
    <row r="148" spans="1:7" x14ac:dyDescent="0.25">
      <c r="A148" t="s">
        <v>0</v>
      </c>
      <c r="B148" s="1" t="s">
        <v>278</v>
      </c>
      <c r="C148" s="9" t="s">
        <v>0</v>
      </c>
      <c r="D148" s="1" t="s">
        <v>0</v>
      </c>
      <c r="E148" s="1" t="s">
        <v>0</v>
      </c>
      <c r="F148" t="s">
        <v>279</v>
      </c>
      <c r="G148">
        <f>IF(C148="Selected", F148, "")</f>
      </c>
    </row>
    <row r="149" spans="1:7" x14ac:dyDescent="0.25">
      <c r="A149" t="s">
        <v>0</v>
      </c>
      <c r="B149" s="1" t="s">
        <v>280</v>
      </c>
      <c r="C149" s="9" t="s">
        <v>0</v>
      </c>
      <c r="D149" s="1" t="s">
        <v>0</v>
      </c>
      <c r="E149" s="1" t="s">
        <v>0</v>
      </c>
      <c r="F149" t="s">
        <v>281</v>
      </c>
      <c r="G149">
        <f>IF(C149="Selected", F149, "")</f>
      </c>
    </row>
    <row r="150" spans="1:7" x14ac:dyDescent="0.25">
      <c r="A150" t="s">
        <v>0</v>
      </c>
      <c r="B150" s="1" t="s">
        <v>282</v>
      </c>
      <c r="C150" s="9" t="s">
        <v>0</v>
      </c>
      <c r="D150" s="1" t="s">
        <v>0</v>
      </c>
      <c r="E150" s="1" t="s">
        <v>0</v>
      </c>
      <c r="F150" t="s">
        <v>283</v>
      </c>
      <c r="G150">
        <f>IF(C150="Selected", F150, "")</f>
      </c>
    </row>
    <row r="151" spans="1:7" x14ac:dyDescent="0.25">
      <c r="A151" t="s">
        <v>0</v>
      </c>
      <c r="B151" s="1" t="s">
        <v>284</v>
      </c>
      <c r="C151" s="9" t="s">
        <v>0</v>
      </c>
      <c r="D151" s="1" t="s">
        <v>0</v>
      </c>
      <c r="E151" s="1" t="s">
        <v>0</v>
      </c>
      <c r="F151" t="s">
        <v>285</v>
      </c>
      <c r="G151">
        <f>IF(C151="Selected", F151, "")</f>
      </c>
    </row>
    <row r="152" spans="1:7" x14ac:dyDescent="0.25">
      <c r="A152" t="s">
        <v>0</v>
      </c>
      <c r="B152" s="1" t="s">
        <v>286</v>
      </c>
      <c r="C152" s="9" t="s">
        <v>0</v>
      </c>
      <c r="D152" s="1" t="s">
        <v>0</v>
      </c>
      <c r="E152" s="1" t="s">
        <v>0</v>
      </c>
      <c r="F152" t="s">
        <v>287</v>
      </c>
      <c r="G152">
        <f>IF(C152="Selected", F152, "")</f>
      </c>
    </row>
    <row r="153" spans="1:7" x14ac:dyDescent="0.25">
      <c r="A153" t="s">
        <v>0</v>
      </c>
      <c r="B153" s="1" t="s">
        <v>288</v>
      </c>
      <c r="C153" s="9" t="s">
        <v>0</v>
      </c>
      <c r="D153" s="1" t="s">
        <v>0</v>
      </c>
      <c r="E153" s="1" t="s">
        <v>0</v>
      </c>
      <c r="F153" t="s">
        <v>289</v>
      </c>
      <c r="G153">
        <f>IF(C153="Selected", F153, "")</f>
      </c>
    </row>
    <row r="154" spans="1:7" x14ac:dyDescent="0.25">
      <c r="A154" t="s">
        <v>0</v>
      </c>
      <c r="B154" s="1" t="s">
        <v>290</v>
      </c>
      <c r="C154" s="9" t="s">
        <v>0</v>
      </c>
      <c r="D154" s="1" t="s">
        <v>0</v>
      </c>
      <c r="E154" s="1" t="s">
        <v>0</v>
      </c>
      <c r="F154" t="s">
        <v>291</v>
      </c>
      <c r="G154">
        <f>IF(C154="Selected", F154, "")</f>
      </c>
    </row>
    <row r="155" spans="1:7" x14ac:dyDescent="0.25">
      <c r="A155" t="s">
        <v>0</v>
      </c>
      <c r="B155" s="1" t="s">
        <v>292</v>
      </c>
      <c r="C155" s="9" t="s">
        <v>0</v>
      </c>
      <c r="D155" s="1" t="s">
        <v>0</v>
      </c>
      <c r="E155" s="1" t="s">
        <v>0</v>
      </c>
      <c r="F155" t="s">
        <v>293</v>
      </c>
      <c r="G155">
        <f>IF(C155="Selected", F155, "")</f>
      </c>
    </row>
    <row r="156" spans="1:7" x14ac:dyDescent="0.25">
      <c r="A156" t="s">
        <v>0</v>
      </c>
      <c r="B156" s="1" t="s">
        <v>294</v>
      </c>
      <c r="C156" s="9" t="s">
        <v>0</v>
      </c>
      <c r="D156" s="1" t="s">
        <v>0</v>
      </c>
      <c r="E156" s="1" t="s">
        <v>0</v>
      </c>
      <c r="F156" t="s">
        <v>295</v>
      </c>
      <c r="G156">
        <f>IF(C156="Selected", F156, "")</f>
      </c>
    </row>
    <row r="157" spans="1:7" x14ac:dyDescent="0.25">
      <c r="A157" t="s">
        <v>0</v>
      </c>
      <c r="B157" s="1" t="s">
        <v>296</v>
      </c>
      <c r="C157" s="9" t="s">
        <v>0</v>
      </c>
      <c r="D157" s="1" t="s">
        <v>0</v>
      </c>
      <c r="E157" s="1" t="s">
        <v>0</v>
      </c>
      <c r="F157" t="s">
        <v>297</v>
      </c>
      <c r="G157">
        <f>IF(C157="Selected", F157, "")</f>
      </c>
    </row>
    <row r="158" spans="1:7" x14ac:dyDescent="0.25">
      <c r="A158" t="s">
        <v>0</v>
      </c>
      <c r="B158" s="1" t="s">
        <v>298</v>
      </c>
      <c r="C158" s="9" t="s">
        <v>0</v>
      </c>
      <c r="D158" s="1" t="s">
        <v>0</v>
      </c>
      <c r="E158" s="1" t="s">
        <v>0</v>
      </c>
      <c r="F158" t="s">
        <v>299</v>
      </c>
      <c r="G158">
        <f>IF(C158="Selected", F158, "")</f>
      </c>
    </row>
    <row r="159" spans="1:7" x14ac:dyDescent="0.25">
      <c r="A159" t="s">
        <v>0</v>
      </c>
      <c r="B159" s="1" t="s">
        <v>300</v>
      </c>
      <c r="C159" s="9" t="s">
        <v>0</v>
      </c>
      <c r="D159" s="1" t="s">
        <v>0</v>
      </c>
      <c r="E159" s="1" t="s">
        <v>0</v>
      </c>
      <c r="F159" t="s">
        <v>301</v>
      </c>
      <c r="G159">
        <f>IF(C159="Selected", F159, "")</f>
      </c>
    </row>
    <row r="160" spans="1:7" x14ac:dyDescent="0.25">
      <c r="A160" t="s">
        <v>0</v>
      </c>
      <c r="B160" s="1" t="s">
        <v>302</v>
      </c>
      <c r="C160" s="9" t="s">
        <v>0</v>
      </c>
      <c r="D160" s="1" t="s">
        <v>0</v>
      </c>
      <c r="E160" s="1" t="s">
        <v>0</v>
      </c>
      <c r="F160" t="s">
        <v>303</v>
      </c>
      <c r="G160">
        <f>IF(C160="Selected", F160, "")</f>
      </c>
    </row>
    <row r="161" spans="1:7" x14ac:dyDescent="0.25">
      <c r="A161" t="s">
        <v>0</v>
      </c>
      <c r="B161" s="1" t="s">
        <v>304</v>
      </c>
      <c r="C161" s="9" t="s">
        <v>0</v>
      </c>
      <c r="D161" s="1" t="s">
        <v>0</v>
      </c>
      <c r="E161" s="1" t="s">
        <v>0</v>
      </c>
      <c r="F161" t="s">
        <v>305</v>
      </c>
      <c r="G161">
        <f>IF(C161="Selected", F161, "")</f>
      </c>
    </row>
    <row r="162" spans="1:7" x14ac:dyDescent="0.25">
      <c r="A162" t="s">
        <v>0</v>
      </c>
      <c r="B162" s="1" t="s">
        <v>306</v>
      </c>
      <c r="C162" s="9" t="s">
        <v>0</v>
      </c>
      <c r="D162" s="1" t="s">
        <v>0</v>
      </c>
      <c r="E162" s="1" t="s">
        <v>0</v>
      </c>
      <c r="F162" t="s">
        <v>307</v>
      </c>
      <c r="G162">
        <f>IF(C162="Selected", F162, "")</f>
      </c>
    </row>
    <row r="163" spans="1:7" x14ac:dyDescent="0.25">
      <c r="A163" t="s">
        <v>0</v>
      </c>
      <c r="B163" s="1" t="s">
        <v>308</v>
      </c>
      <c r="C163" s="9" t="s">
        <v>0</v>
      </c>
      <c r="D163" s="1" t="s">
        <v>0</v>
      </c>
      <c r="E163" s="1" t="s">
        <v>0</v>
      </c>
      <c r="F163" t="s">
        <v>309</v>
      </c>
      <c r="G163">
        <f>IF(C163="Selected", F163, "")</f>
      </c>
    </row>
    <row r="164" spans="1:7" x14ac:dyDescent="0.25">
      <c r="A164" t="s">
        <v>0</v>
      </c>
      <c r="B164" s="1" t="s">
        <v>310</v>
      </c>
      <c r="C164" s="9" t="s">
        <v>0</v>
      </c>
      <c r="D164" s="1" t="s">
        <v>0</v>
      </c>
      <c r="E164" s="1" t="s">
        <v>0</v>
      </c>
      <c r="F164" t="s">
        <v>311</v>
      </c>
      <c r="G164">
        <f>IF(C164="Selected", F164, "")</f>
      </c>
    </row>
    <row r="165" spans="1:7" x14ac:dyDescent="0.25">
      <c r="A165" t="s">
        <v>0</v>
      </c>
      <c r="B165" s="1" t="s">
        <v>312</v>
      </c>
      <c r="C165" s="9" t="s">
        <v>0</v>
      </c>
      <c r="D165" s="1" t="s">
        <v>0</v>
      </c>
      <c r="E165" s="1" t="s">
        <v>0</v>
      </c>
      <c r="F165" t="s">
        <v>313</v>
      </c>
      <c r="G165">
        <f>IF(C165="Selected", F165, "")</f>
      </c>
    </row>
    <row r="166" spans="1:7" x14ac:dyDescent="0.25">
      <c r="A166" t="s">
        <v>0</v>
      </c>
      <c r="B166" s="1" t="s">
        <v>314</v>
      </c>
      <c r="C166" s="9" t="s">
        <v>0</v>
      </c>
      <c r="D166" s="1" t="s">
        <v>0</v>
      </c>
      <c r="E166" s="1" t="s">
        <v>0</v>
      </c>
      <c r="F166" t="s">
        <v>315</v>
      </c>
      <c r="G166">
        <f>IF(C166="Selected", F166, "")</f>
      </c>
    </row>
    <row r="167" spans="1:7" x14ac:dyDescent="0.25">
      <c r="A167" t="s">
        <v>0</v>
      </c>
      <c r="B167" s="1" t="s">
        <v>316</v>
      </c>
      <c r="C167" s="9" t="s">
        <v>0</v>
      </c>
      <c r="D167" s="1" t="s">
        <v>0</v>
      </c>
      <c r="E167" s="1" t="s">
        <v>0</v>
      </c>
      <c r="F167" t="s">
        <v>317</v>
      </c>
      <c r="G167">
        <f>IF(C167="Selected", F167, "")</f>
      </c>
    </row>
    <row r="168" spans="1:7" x14ac:dyDescent="0.25">
      <c r="A168" t="s">
        <v>0</v>
      </c>
      <c r="B168" s="1" t="s">
        <v>318</v>
      </c>
      <c r="C168" s="9" t="s">
        <v>0</v>
      </c>
      <c r="D168" s="1" t="s">
        <v>0</v>
      </c>
      <c r="E168" s="1" t="s">
        <v>0</v>
      </c>
      <c r="F168" t="s">
        <v>319</v>
      </c>
      <c r="G168">
        <f>IF(C168="Selected", F168, "")</f>
      </c>
    </row>
    <row r="169" spans="1:7" x14ac:dyDescent="0.25">
      <c r="A169" t="s">
        <v>0</v>
      </c>
      <c r="B169" s="1" t="s">
        <v>320</v>
      </c>
      <c r="C169" s="9" t="s">
        <v>0</v>
      </c>
      <c r="D169" s="1" t="s">
        <v>0</v>
      </c>
      <c r="E169" s="1" t="s">
        <v>0</v>
      </c>
      <c r="F169" t="s">
        <v>321</v>
      </c>
      <c r="G169">
        <f>IF(C169="Selected", F169, "")</f>
      </c>
    </row>
    <row r="170" spans="1:7" x14ac:dyDescent="0.25">
      <c r="A170" t="s">
        <v>0</v>
      </c>
      <c r="B170" s="1" t="s">
        <v>322</v>
      </c>
      <c r="C170" s="9" t="s">
        <v>0</v>
      </c>
      <c r="D170" s="1" t="s">
        <v>0</v>
      </c>
      <c r="E170" s="1" t="s">
        <v>0</v>
      </c>
      <c r="F170" t="s">
        <v>323</v>
      </c>
      <c r="G170">
        <f>IF(C170="Selected", F170, "")</f>
      </c>
    </row>
    <row r="171" spans="1:7" x14ac:dyDescent="0.25">
      <c r="A171" t="s">
        <v>0</v>
      </c>
      <c r="B171" s="1" t="s">
        <v>324</v>
      </c>
      <c r="C171" s="9" t="s">
        <v>0</v>
      </c>
      <c r="D171" s="1" t="s">
        <v>0</v>
      </c>
      <c r="E171" s="1" t="s">
        <v>0</v>
      </c>
      <c r="F171" t="s">
        <v>325</v>
      </c>
      <c r="G171">
        <f>IF(C171="Selected", F171, "")</f>
      </c>
    </row>
    <row r="172" spans="1:7" x14ac:dyDescent="0.25">
      <c r="A172" t="s">
        <v>0</v>
      </c>
      <c r="B172" s="1" t="s">
        <v>326</v>
      </c>
      <c r="C172" s="9" t="s">
        <v>0</v>
      </c>
      <c r="D172" s="1" t="s">
        <v>0</v>
      </c>
      <c r="E172" s="1" t="s">
        <v>0</v>
      </c>
      <c r="F172" t="s">
        <v>327</v>
      </c>
      <c r="G172">
        <f>IF(C172="Selected", F172, "")</f>
      </c>
    </row>
    <row r="173" spans="1:7" x14ac:dyDescent="0.25">
      <c r="A173" t="s">
        <v>0</v>
      </c>
      <c r="B173" s="1" t="s">
        <v>328</v>
      </c>
      <c r="C173" s="9" t="s">
        <v>0</v>
      </c>
      <c r="D173" s="1" t="s">
        <v>0</v>
      </c>
      <c r="E173" s="1" t="s">
        <v>0</v>
      </c>
      <c r="F173" t="s">
        <v>329</v>
      </c>
      <c r="G173">
        <f>IF(C173="Selected", F173, "")</f>
      </c>
    </row>
    <row r="174" spans="1:7" x14ac:dyDescent="0.25">
      <c r="A174" t="s">
        <v>0</v>
      </c>
      <c r="B174" s="1" t="s">
        <v>330</v>
      </c>
      <c r="C174" s="9" t="s">
        <v>0</v>
      </c>
      <c r="D174" s="1" t="s">
        <v>0</v>
      </c>
      <c r="E174" s="1" t="s">
        <v>0</v>
      </c>
      <c r="F174" t="s">
        <v>331</v>
      </c>
      <c r="G174">
        <f>IF(C174="Selected", F174, "")</f>
      </c>
    </row>
    <row r="175" spans="1:7" x14ac:dyDescent="0.25">
      <c r="A175" t="s">
        <v>0</v>
      </c>
      <c r="B175" s="1" t="s">
        <v>332</v>
      </c>
      <c r="C175" s="9" t="s">
        <v>0</v>
      </c>
      <c r="D175" s="1" t="s">
        <v>0</v>
      </c>
      <c r="E175" s="1" t="s">
        <v>0</v>
      </c>
      <c r="F175" t="s">
        <v>333</v>
      </c>
      <c r="G175">
        <f>IF(C175="Selected", F175, "")</f>
      </c>
    </row>
    <row r="176" spans="1:7" x14ac:dyDescent="0.25">
      <c r="A176" t="s">
        <v>0</v>
      </c>
      <c r="B176" s="1" t="s">
        <v>334</v>
      </c>
      <c r="C176" s="9" t="s">
        <v>0</v>
      </c>
      <c r="D176" s="1" t="s">
        <v>0</v>
      </c>
      <c r="E176" s="1" t="s">
        <v>0</v>
      </c>
      <c r="F176" t="s">
        <v>335</v>
      </c>
      <c r="G176">
        <f>IF(C176="Selected", F176, "")</f>
      </c>
    </row>
    <row r="177" spans="1:7" x14ac:dyDescent="0.25">
      <c r="A177" t="s">
        <v>0</v>
      </c>
      <c r="B177" s="1" t="s">
        <v>336</v>
      </c>
      <c r="C177" s="9" t="s">
        <v>0</v>
      </c>
      <c r="D177" s="1" t="s">
        <v>0</v>
      </c>
      <c r="E177" s="1" t="s">
        <v>0</v>
      </c>
      <c r="F177" t="s">
        <v>337</v>
      </c>
      <c r="G177">
        <f>IF(C177="Selected", F177, "")</f>
      </c>
    </row>
    <row r="178" spans="1:7" x14ac:dyDescent="0.25">
      <c r="A178" t="s">
        <v>0</v>
      </c>
      <c r="B178" s="1" t="s">
        <v>338</v>
      </c>
      <c r="C178" s="9" t="s">
        <v>0</v>
      </c>
      <c r="D178" s="1" t="s">
        <v>0</v>
      </c>
      <c r="E178" s="1" t="s">
        <v>0</v>
      </c>
      <c r="F178" t="s">
        <v>339</v>
      </c>
      <c r="G178">
        <f>IF(C178="Selected", F178, "")</f>
      </c>
    </row>
    <row r="179" spans="1:7" x14ac:dyDescent="0.25">
      <c r="A179" t="s">
        <v>0</v>
      </c>
      <c r="B179" s="1" t="s">
        <v>340</v>
      </c>
      <c r="C179" s="9" t="s">
        <v>0</v>
      </c>
      <c r="D179" s="1" t="s">
        <v>0</v>
      </c>
      <c r="E179" s="1" t="s">
        <v>0</v>
      </c>
      <c r="F179" t="s">
        <v>341</v>
      </c>
      <c r="G179">
        <f>IF(C179="Selected", F179, "")</f>
      </c>
    </row>
    <row r="180" spans="1:7" x14ac:dyDescent="0.25">
      <c r="A180" t="s">
        <v>0</v>
      </c>
      <c r="B180" s="1" t="s">
        <v>342</v>
      </c>
      <c r="C180" s="9" t="s">
        <v>0</v>
      </c>
      <c r="D180" s="1" t="s">
        <v>0</v>
      </c>
      <c r="E180" s="1" t="s">
        <v>0</v>
      </c>
      <c r="F180" t="s">
        <v>343</v>
      </c>
      <c r="G180">
        <f>IF(C180="Selected", F180, "")</f>
      </c>
    </row>
    <row r="181" spans="1:7" x14ac:dyDescent="0.25">
      <c r="A181" t="s">
        <v>0</v>
      </c>
      <c r="B181" s="1" t="s">
        <v>344</v>
      </c>
      <c r="C181" s="9" t="s">
        <v>0</v>
      </c>
      <c r="D181" s="1" t="s">
        <v>0</v>
      </c>
      <c r="E181" s="1" t="s">
        <v>0</v>
      </c>
      <c r="F181" t="s">
        <v>345</v>
      </c>
      <c r="G181">
        <f>IF(C181="Selected", F181, "")</f>
      </c>
    </row>
    <row r="182" spans="1:7" x14ac:dyDescent="0.25">
      <c r="A182" t="s">
        <v>0</v>
      </c>
      <c r="B182" s="1" t="s">
        <v>346</v>
      </c>
      <c r="C182" s="9" t="s">
        <v>0</v>
      </c>
      <c r="D182" s="1" t="s">
        <v>0</v>
      </c>
      <c r="E182" s="1" t="s">
        <v>0</v>
      </c>
      <c r="F182" t="s">
        <v>347</v>
      </c>
      <c r="G182">
        <f>IF(C182="Selected", F182, "")</f>
      </c>
    </row>
    <row r="183" spans="1:7" x14ac:dyDescent="0.25">
      <c r="A183" t="s">
        <v>0</v>
      </c>
      <c r="B183" s="1" t="s">
        <v>348</v>
      </c>
      <c r="C183" s="9" t="s">
        <v>0</v>
      </c>
      <c r="D183" s="1" t="s">
        <v>0</v>
      </c>
      <c r="E183" s="1" t="s">
        <v>0</v>
      </c>
      <c r="F183" t="s">
        <v>349</v>
      </c>
      <c r="G183">
        <f>IF(C183="Selected", F183, "")</f>
      </c>
    </row>
    <row r="184" spans="1:7" x14ac:dyDescent="0.25">
      <c r="A184" t="s">
        <v>0</v>
      </c>
      <c r="B184" s="1" t="s">
        <v>350</v>
      </c>
      <c r="C184" s="9" t="s">
        <v>0</v>
      </c>
      <c r="D184" s="1" t="s">
        <v>0</v>
      </c>
      <c r="E184" s="1" t="s">
        <v>0</v>
      </c>
      <c r="F184" t="s">
        <v>351</v>
      </c>
      <c r="G184">
        <f>IF(C184="Selected", F184, "")</f>
      </c>
    </row>
    <row r="185" spans="1:7" x14ac:dyDescent="0.25">
      <c r="A185" t="s">
        <v>0</v>
      </c>
      <c r="B185" s="1" t="s">
        <v>352</v>
      </c>
      <c r="C185" s="9" t="s">
        <v>0</v>
      </c>
      <c r="D185" s="1" t="s">
        <v>0</v>
      </c>
      <c r="E185" s="1" t="s">
        <v>0</v>
      </c>
      <c r="F185" t="s">
        <v>353</v>
      </c>
      <c r="G185">
        <f>IF(C185="Selected", F185, "")</f>
      </c>
    </row>
    <row r="186" spans="1:7" x14ac:dyDescent="0.25">
      <c r="A186" t="s">
        <v>0</v>
      </c>
      <c r="B186" s="1" t="s">
        <v>354</v>
      </c>
      <c r="C186" s="9" t="s">
        <v>0</v>
      </c>
      <c r="D186" s="1" t="s">
        <v>0</v>
      </c>
      <c r="E186" s="1" t="s">
        <v>0</v>
      </c>
      <c r="F186" t="s">
        <v>355</v>
      </c>
      <c r="G186">
        <f>IF(C186="Selected", F186, "")</f>
      </c>
    </row>
    <row r="187" spans="1:7" x14ac:dyDescent="0.25">
      <c r="A187" t="s">
        <v>0</v>
      </c>
      <c r="B187" s="1" t="s">
        <v>356</v>
      </c>
      <c r="C187" s="9" t="s">
        <v>0</v>
      </c>
      <c r="D187" s="1" t="s">
        <v>0</v>
      </c>
      <c r="E187" s="1" t="s">
        <v>0</v>
      </c>
      <c r="F187" t="s">
        <v>357</v>
      </c>
      <c r="G187">
        <f>IF(C187="Selected", F187, "")</f>
      </c>
    </row>
    <row r="188" spans="1:7" x14ac:dyDescent="0.25">
      <c r="A188" t="s">
        <v>0</v>
      </c>
      <c r="B188" s="1" t="s">
        <v>358</v>
      </c>
      <c r="C188" s="9" t="s">
        <v>0</v>
      </c>
      <c r="D188" s="1" t="s">
        <v>0</v>
      </c>
      <c r="E188" s="1" t="s">
        <v>0</v>
      </c>
      <c r="F188" t="s">
        <v>359</v>
      </c>
      <c r="G188">
        <f>IF(C188="Selected", F188, "")</f>
      </c>
    </row>
    <row r="189" spans="1:7" x14ac:dyDescent="0.25">
      <c r="A189" t="s">
        <v>0</v>
      </c>
      <c r="B189" s="1" t="s">
        <v>360</v>
      </c>
      <c r="C189" s="9" t="s">
        <v>0</v>
      </c>
      <c r="D189" s="1" t="s">
        <v>0</v>
      </c>
      <c r="E189" s="1" t="s">
        <v>0</v>
      </c>
      <c r="F189" t="s">
        <v>361</v>
      </c>
      <c r="G189">
        <f>IF(C189="Selected", F189, "")</f>
      </c>
    </row>
    <row r="190" spans="1:7" x14ac:dyDescent="0.25">
      <c r="A190" t="s">
        <v>0</v>
      </c>
      <c r="B190" s="1" t="s">
        <v>362</v>
      </c>
      <c r="C190" s="9" t="s">
        <v>0</v>
      </c>
      <c r="D190" s="1" t="s">
        <v>0</v>
      </c>
      <c r="E190" s="1" t="s">
        <v>0</v>
      </c>
      <c r="F190" t="s">
        <v>363</v>
      </c>
      <c r="G190">
        <f>IF(C190="Selected", F190, "")</f>
      </c>
    </row>
    <row r="191" spans="1:7" x14ac:dyDescent="0.25">
      <c r="A191" t="s">
        <v>0</v>
      </c>
      <c r="B191" s="1" t="s">
        <v>364</v>
      </c>
      <c r="C191" s="9" t="s">
        <v>0</v>
      </c>
      <c r="D191" s="1" t="s">
        <v>0</v>
      </c>
      <c r="E191" s="1" t="s">
        <v>0</v>
      </c>
      <c r="F191" t="s">
        <v>365</v>
      </c>
      <c r="G191">
        <f>IF(C191="Selected", F191, "")</f>
      </c>
    </row>
    <row r="192" spans="1:7" x14ac:dyDescent="0.25">
      <c r="A192" t="s">
        <v>0</v>
      </c>
      <c r="B192" s="1" t="s">
        <v>366</v>
      </c>
      <c r="C192" s="9" t="s">
        <v>0</v>
      </c>
      <c r="D192" s="1" t="s">
        <v>0</v>
      </c>
      <c r="E192" s="1" t="s">
        <v>0</v>
      </c>
      <c r="F192" t="s">
        <v>367</v>
      </c>
      <c r="G192">
        <f>IF(C192="Selected", F192, "")</f>
      </c>
    </row>
    <row r="193" spans="1:7" x14ac:dyDescent="0.25">
      <c r="A193" t="s">
        <v>0</v>
      </c>
      <c r="B193" s="1" t="s">
        <v>368</v>
      </c>
      <c r="C193" s="9" t="s">
        <v>0</v>
      </c>
      <c r="D193" s="1" t="s">
        <v>0</v>
      </c>
      <c r="E193" s="1" t="s">
        <v>0</v>
      </c>
      <c r="F193" t="s">
        <v>369</v>
      </c>
      <c r="G193">
        <f>IF(C193="Selected", F193, "")</f>
      </c>
    </row>
    <row r="194" spans="1:7" x14ac:dyDescent="0.25">
      <c r="A194" t="s">
        <v>0</v>
      </c>
      <c r="B194" s="1" t="s">
        <v>370</v>
      </c>
      <c r="C194" s="9" t="s">
        <v>0</v>
      </c>
      <c r="D194" s="1" t="s">
        <v>0</v>
      </c>
      <c r="E194" s="1" t="s">
        <v>0</v>
      </c>
      <c r="F194" t="s">
        <v>371</v>
      </c>
      <c r="G194">
        <f>IF(C194="Selected", F194, "")</f>
      </c>
    </row>
    <row r="195" spans="1:7" x14ac:dyDescent="0.25">
      <c r="A195" t="s">
        <v>0</v>
      </c>
      <c r="B195" s="1" t="s">
        <v>372</v>
      </c>
      <c r="C195" s="9" t="s">
        <v>0</v>
      </c>
      <c r="D195" s="1" t="s">
        <v>0</v>
      </c>
      <c r="E195" s="1" t="s">
        <v>0</v>
      </c>
      <c r="F195" t="s">
        <v>373</v>
      </c>
      <c r="G195">
        <f>IF(C195="Selected", F195, "")</f>
      </c>
    </row>
    <row r="196" spans="1:7" x14ac:dyDescent="0.25">
      <c r="A196" t="s">
        <v>0</v>
      </c>
      <c r="B196" s="1" t="s">
        <v>374</v>
      </c>
      <c r="C196" s="9" t="s">
        <v>0</v>
      </c>
      <c r="D196" s="1" t="s">
        <v>0</v>
      </c>
      <c r="E196" s="1" t="s">
        <v>0</v>
      </c>
      <c r="F196" t="s">
        <v>375</v>
      </c>
      <c r="G196">
        <f>IF(C196="Selected", F196, "")</f>
      </c>
    </row>
    <row r="197" spans="1:7" x14ac:dyDescent="0.25">
      <c r="A197" t="s">
        <v>0</v>
      </c>
      <c r="B197" s="1" t="s">
        <v>376</v>
      </c>
      <c r="C197" s="9" t="s">
        <v>0</v>
      </c>
      <c r="D197" s="1" t="s">
        <v>0</v>
      </c>
      <c r="E197" s="1" t="s">
        <v>0</v>
      </c>
      <c r="F197" t="s">
        <v>377</v>
      </c>
      <c r="G197">
        <f>IF(C197="Selected", F197, "")</f>
      </c>
    </row>
    <row r="198" spans="1:7" x14ac:dyDescent="0.25">
      <c r="A198" t="s">
        <v>0</v>
      </c>
      <c r="B198" s="1" t="s">
        <v>378</v>
      </c>
      <c r="C198" s="9" t="s">
        <v>0</v>
      </c>
      <c r="D198" s="1" t="s">
        <v>0</v>
      </c>
      <c r="E198" s="1" t="s">
        <v>0</v>
      </c>
      <c r="F198" t="s">
        <v>379</v>
      </c>
      <c r="G198">
        <f>IF(C198="Selected", F198, "")</f>
      </c>
    </row>
    <row r="199" spans="1:7" x14ac:dyDescent="0.25">
      <c r="A199" t="s">
        <v>0</v>
      </c>
      <c r="B199" s="1" t="s">
        <v>380</v>
      </c>
      <c r="C199" s="9" t="s">
        <v>0</v>
      </c>
      <c r="D199" s="1" t="s">
        <v>0</v>
      </c>
      <c r="E199" s="1" t="s">
        <v>0</v>
      </c>
      <c r="F199" t="s">
        <v>381</v>
      </c>
      <c r="G199">
        <f>IF(C199="Selected", F199, "")</f>
      </c>
    </row>
    <row r="200" spans="1:7" x14ac:dyDescent="0.25">
      <c r="A200" t="s">
        <v>0</v>
      </c>
      <c r="B200" s="1" t="s">
        <v>382</v>
      </c>
      <c r="C200" s="9" t="s">
        <v>0</v>
      </c>
      <c r="D200" s="1" t="s">
        <v>0</v>
      </c>
      <c r="E200" s="1" t="s">
        <v>0</v>
      </c>
      <c r="F200" t="s">
        <v>383</v>
      </c>
      <c r="G200">
        <f>IF(C200="Selected", F200, "")</f>
      </c>
    </row>
    <row r="201" spans="1:7" x14ac:dyDescent="0.25">
      <c r="A201" t="s">
        <v>0</v>
      </c>
      <c r="B201" s="1" t="s">
        <v>384</v>
      </c>
      <c r="C201" s="9" t="s">
        <v>0</v>
      </c>
      <c r="D201" s="1" t="s">
        <v>0</v>
      </c>
      <c r="E201" s="1" t="s">
        <v>0</v>
      </c>
      <c r="F201" t="s">
        <v>385</v>
      </c>
      <c r="G201">
        <f>IF(C201="Selected", F201, "")</f>
      </c>
    </row>
    <row r="202" spans="1:7" x14ac:dyDescent="0.25">
      <c r="A202" t="s">
        <v>0</v>
      </c>
      <c r="B202" s="1" t="s">
        <v>386</v>
      </c>
      <c r="C202" s="9" t="s">
        <v>0</v>
      </c>
      <c r="D202" s="1" t="s">
        <v>0</v>
      </c>
      <c r="E202" s="1" t="s">
        <v>0</v>
      </c>
      <c r="F202" t="s">
        <v>387</v>
      </c>
      <c r="G202">
        <f>IF(C202="Selected", F202, "")</f>
      </c>
    </row>
    <row r="203" spans="1:7" x14ac:dyDescent="0.25">
      <c r="A203" t="s">
        <v>0</v>
      </c>
      <c r="B203" s="1" t="s">
        <v>388</v>
      </c>
      <c r="C203" s="9" t="s">
        <v>0</v>
      </c>
      <c r="D203" s="1" t="s">
        <v>0</v>
      </c>
      <c r="E203" s="1" t="s">
        <v>0</v>
      </c>
      <c r="F203" t="s">
        <v>389</v>
      </c>
      <c r="G203">
        <f>IF(C203="Selected", F203, "")</f>
      </c>
    </row>
    <row r="204" spans="1:7" x14ac:dyDescent="0.25">
      <c r="A204" t="s">
        <v>0</v>
      </c>
      <c r="B204" s="1" t="s">
        <v>390</v>
      </c>
      <c r="C204" s="9" t="s">
        <v>0</v>
      </c>
      <c r="D204" s="1" t="s">
        <v>0</v>
      </c>
      <c r="E204" s="1" t="s">
        <v>0</v>
      </c>
      <c r="F204" t="s">
        <v>391</v>
      </c>
      <c r="G204">
        <f>IF(C204="Selected", F204, "")</f>
      </c>
    </row>
    <row r="205" spans="1:7" x14ac:dyDescent="0.25">
      <c r="A205" t="s">
        <v>0</v>
      </c>
      <c r="B205" s="1" t="s">
        <v>392</v>
      </c>
      <c r="C205" s="9" t="s">
        <v>0</v>
      </c>
      <c r="D205" s="1" t="s">
        <v>0</v>
      </c>
      <c r="E205" s="1" t="s">
        <v>0</v>
      </c>
      <c r="F205" t="s">
        <v>393</v>
      </c>
      <c r="G205">
        <f>IF(C205="Selected", F205, "")</f>
      </c>
    </row>
    <row r="206" spans="1:7" x14ac:dyDescent="0.25">
      <c r="A206" t="s">
        <v>0</v>
      </c>
      <c r="B206" s="1" t="s">
        <v>394</v>
      </c>
      <c r="C206" s="9" t="s">
        <v>0</v>
      </c>
      <c r="D206" s="1" t="s">
        <v>0</v>
      </c>
      <c r="E206" s="1" t="s">
        <v>0</v>
      </c>
      <c r="F206" t="s">
        <v>395</v>
      </c>
      <c r="G206">
        <f>IF(C206="Selected", F206, "")</f>
      </c>
    </row>
    <row r="207" spans="1:7" x14ac:dyDescent="0.25">
      <c r="A207" t="s">
        <v>0</v>
      </c>
      <c r="B207" s="1" t="s">
        <v>396</v>
      </c>
      <c r="C207" s="9" t="s">
        <v>0</v>
      </c>
      <c r="D207" s="1" t="s">
        <v>0</v>
      </c>
      <c r="E207" s="1" t="s">
        <v>0</v>
      </c>
      <c r="F207" t="s">
        <v>397</v>
      </c>
      <c r="G207">
        <f>IF(C207="Selected", F207, "")</f>
      </c>
    </row>
    <row r="208" spans="1:7" x14ac:dyDescent="0.25">
      <c r="A208" t="s">
        <v>0</v>
      </c>
      <c r="B208" s="1" t="s">
        <v>398</v>
      </c>
      <c r="C208" s="9" t="s">
        <v>0</v>
      </c>
      <c r="D208" s="1" t="s">
        <v>0</v>
      </c>
      <c r="E208" s="1" t="s">
        <v>0</v>
      </c>
      <c r="F208" t="s">
        <v>399</v>
      </c>
      <c r="G208">
        <f>IF(C208="Selected", F208, "")</f>
      </c>
    </row>
    <row r="209" spans="1:7" x14ac:dyDescent="0.25">
      <c r="A209" t="s">
        <v>0</v>
      </c>
      <c r="B209" s="1" t="s">
        <v>400</v>
      </c>
      <c r="C209" s="9" t="s">
        <v>0</v>
      </c>
      <c r="D209" s="1" t="s">
        <v>0</v>
      </c>
      <c r="E209" s="1" t="s">
        <v>0</v>
      </c>
      <c r="F209" t="s">
        <v>401</v>
      </c>
      <c r="G209">
        <f>IF(C209="Selected", F209, "")</f>
      </c>
    </row>
    <row r="210" spans="1:7" x14ac:dyDescent="0.25">
      <c r="A210" t="s">
        <v>0</v>
      </c>
      <c r="B210" s="1" t="s">
        <v>402</v>
      </c>
      <c r="C210" s="9" t="s">
        <v>0</v>
      </c>
      <c r="D210" s="1" t="s">
        <v>0</v>
      </c>
      <c r="E210" s="1" t="s">
        <v>0</v>
      </c>
      <c r="F210" t="s">
        <v>403</v>
      </c>
      <c r="G210">
        <f>IF(C210="Selected", F210, "")</f>
      </c>
    </row>
    <row r="211" spans="1:7" x14ac:dyDescent="0.25">
      <c r="A211" t="s">
        <v>0</v>
      </c>
      <c r="B211" s="1" t="s">
        <v>404</v>
      </c>
      <c r="C211" s="9" t="s">
        <v>0</v>
      </c>
      <c r="D211" s="1" t="s">
        <v>0</v>
      </c>
      <c r="E211" s="1" t="s">
        <v>0</v>
      </c>
      <c r="F211" t="s">
        <v>405</v>
      </c>
      <c r="G211">
        <f>IF(C211="Selected", F211, "")</f>
      </c>
    </row>
    <row r="212" spans="1:7" x14ac:dyDescent="0.25">
      <c r="A212" t="s">
        <v>0</v>
      </c>
      <c r="B212" s="1" t="s">
        <v>406</v>
      </c>
      <c r="C212" s="9" t="s">
        <v>0</v>
      </c>
      <c r="D212" s="1" t="s">
        <v>0</v>
      </c>
      <c r="E212" s="1" t="s">
        <v>0</v>
      </c>
      <c r="F212" t="s">
        <v>407</v>
      </c>
      <c r="G212">
        <f>IF(C212="Selected", F212, "")</f>
      </c>
    </row>
    <row r="213" spans="1:7" x14ac:dyDescent="0.25">
      <c r="A213" t="s">
        <v>0</v>
      </c>
      <c r="B213" s="1" t="s">
        <v>408</v>
      </c>
      <c r="C213" s="9" t="s">
        <v>0</v>
      </c>
      <c r="D213" s="1" t="s">
        <v>0</v>
      </c>
      <c r="E213" s="1" t="s">
        <v>0</v>
      </c>
      <c r="F213" t="s">
        <v>409</v>
      </c>
      <c r="G213">
        <f>IF(C213="Selected", F213, "")</f>
      </c>
    </row>
    <row r="214" spans="1:7" x14ac:dyDescent="0.25">
      <c r="A214" t="s">
        <v>0</v>
      </c>
      <c r="B214" s="1" t="s">
        <v>410</v>
      </c>
      <c r="C214" s="9" t="s">
        <v>0</v>
      </c>
      <c r="D214" s="1" t="s">
        <v>0</v>
      </c>
      <c r="E214" s="1" t="s">
        <v>0</v>
      </c>
      <c r="F214" t="s">
        <v>411</v>
      </c>
      <c r="G214">
        <f>IF(C214="Selected", F214, "")</f>
      </c>
    </row>
    <row r="215" spans="1:7" x14ac:dyDescent="0.25">
      <c r="A215" t="s">
        <v>0</v>
      </c>
      <c r="B215" s="1" t="s">
        <v>412</v>
      </c>
      <c r="C215" s="9" t="s">
        <v>0</v>
      </c>
      <c r="D215" s="1" t="s">
        <v>0</v>
      </c>
      <c r="E215" s="1" t="s">
        <v>0</v>
      </c>
      <c r="F215" t="s">
        <v>413</v>
      </c>
      <c r="G215">
        <f>IF(C215="Selected", F215, "")</f>
      </c>
    </row>
    <row r="216" spans="1:7" x14ac:dyDescent="0.25">
      <c r="A216" t="s">
        <v>0</v>
      </c>
      <c r="B216" s="1" t="s">
        <v>414</v>
      </c>
      <c r="C216" s="9" t="s">
        <v>0</v>
      </c>
      <c r="D216" s="1" t="s">
        <v>0</v>
      </c>
      <c r="E216" s="1" t="s">
        <v>0</v>
      </c>
      <c r="F216" t="s">
        <v>415</v>
      </c>
      <c r="G216">
        <f>IF(C216="Selected", F216, "")</f>
      </c>
    </row>
    <row r="217" spans="1:7" x14ac:dyDescent="0.25">
      <c r="A217" t="s">
        <v>0</v>
      </c>
      <c r="B217" s="1" t="s">
        <v>416</v>
      </c>
      <c r="C217" s="9" t="s">
        <v>0</v>
      </c>
      <c r="D217" s="1" t="s">
        <v>0</v>
      </c>
      <c r="E217" s="1" t="s">
        <v>0</v>
      </c>
      <c r="F217" t="s">
        <v>417</v>
      </c>
      <c r="G217">
        <f>IF(C217="Selected", F217, "")</f>
      </c>
    </row>
    <row r="218" spans="1:7" x14ac:dyDescent="0.25">
      <c r="A218" t="s">
        <v>0</v>
      </c>
      <c r="B218" s="1" t="s">
        <v>418</v>
      </c>
      <c r="C218" s="9" t="s">
        <v>0</v>
      </c>
      <c r="D218" s="1" t="s">
        <v>0</v>
      </c>
      <c r="E218" s="1" t="s">
        <v>0</v>
      </c>
      <c r="F218" t="s">
        <v>419</v>
      </c>
      <c r="G218">
        <f>IF(C218="Selected", F218, "")</f>
      </c>
    </row>
    <row r="219" spans="1:7" x14ac:dyDescent="0.25">
      <c r="A219" t="s">
        <v>0</v>
      </c>
      <c r="B219" s="1" t="s">
        <v>420</v>
      </c>
      <c r="C219" s="9" t="s">
        <v>0</v>
      </c>
      <c r="D219" s="1" t="s">
        <v>0</v>
      </c>
      <c r="E219" s="1" t="s">
        <v>0</v>
      </c>
      <c r="F219" t="s">
        <v>421</v>
      </c>
      <c r="G219">
        <f>IF(C219="Selected", F219, "")</f>
      </c>
    </row>
    <row r="220" spans="1:7" x14ac:dyDescent="0.25">
      <c r="A220" t="s">
        <v>0</v>
      </c>
      <c r="B220" s="1" t="s">
        <v>422</v>
      </c>
      <c r="C220" s="9" t="s">
        <v>0</v>
      </c>
      <c r="D220" s="1" t="s">
        <v>0</v>
      </c>
      <c r="E220" s="1" t="s">
        <v>0</v>
      </c>
      <c r="F220" t="s">
        <v>423</v>
      </c>
      <c r="G220">
        <f>IF(C220="Selected", F220, "")</f>
      </c>
    </row>
    <row r="221" spans="1:7" x14ac:dyDescent="0.25">
      <c r="A221" t="s">
        <v>0</v>
      </c>
      <c r="B221" s="1" t="s">
        <v>424</v>
      </c>
      <c r="C221" s="9" t="s">
        <v>0</v>
      </c>
      <c r="D221" s="1" t="s">
        <v>0</v>
      </c>
      <c r="E221" s="1" t="s">
        <v>0</v>
      </c>
      <c r="F221" t="s">
        <v>425</v>
      </c>
      <c r="G221">
        <f>IF(C221="Selected", F221, "")</f>
      </c>
    </row>
    <row r="222" spans="1:7" x14ac:dyDescent="0.25">
      <c r="A222" t="s">
        <v>0</v>
      </c>
      <c r="B222" s="1" t="s">
        <v>426</v>
      </c>
      <c r="C222" s="9" t="s">
        <v>0</v>
      </c>
      <c r="D222" s="1" t="s">
        <v>0</v>
      </c>
      <c r="E222" s="1" t="s">
        <v>0</v>
      </c>
      <c r="F222" t="s">
        <v>427</v>
      </c>
      <c r="G222">
        <f>IF(C222="Selected", F222, "")</f>
      </c>
    </row>
    <row r="223" spans="1:7" x14ac:dyDescent="0.25">
      <c r="A223" t="s">
        <v>0</v>
      </c>
      <c r="B223" s="1" t="s">
        <v>428</v>
      </c>
      <c r="C223" s="9" t="s">
        <v>0</v>
      </c>
      <c r="D223" s="1" t="s">
        <v>0</v>
      </c>
      <c r="E223" s="1" t="s">
        <v>0</v>
      </c>
      <c r="F223" t="s">
        <v>429</v>
      </c>
      <c r="G223">
        <f>IF(C223="Selected", F223, "")</f>
      </c>
    </row>
    <row r="224" spans="1:7" x14ac:dyDescent="0.25">
      <c r="A224" t="s">
        <v>0</v>
      </c>
      <c r="B224" s="1" t="s">
        <v>430</v>
      </c>
      <c r="C224" s="9" t="s">
        <v>0</v>
      </c>
      <c r="D224" s="1" t="s">
        <v>0</v>
      </c>
      <c r="E224" s="1" t="s">
        <v>0</v>
      </c>
      <c r="F224" t="s">
        <v>431</v>
      </c>
      <c r="G224">
        <f>IF(C224="Selected", F224, "")</f>
      </c>
    </row>
    <row r="225" spans="1:7" x14ac:dyDescent="0.25">
      <c r="A225" t="s">
        <v>0</v>
      </c>
      <c r="B225" s="1" t="s">
        <v>432</v>
      </c>
      <c r="C225" s="9" t="s">
        <v>0</v>
      </c>
      <c r="D225" s="1" t="s">
        <v>0</v>
      </c>
      <c r="E225" s="1" t="s">
        <v>0</v>
      </c>
      <c r="F225" t="s">
        <v>433</v>
      </c>
      <c r="G225">
        <f>IF(C225="Selected", F225, "")</f>
      </c>
    </row>
    <row r="226" spans="1:7" x14ac:dyDescent="0.25">
      <c r="A226" t="s">
        <v>0</v>
      </c>
      <c r="B226" s="1" t="s">
        <v>434</v>
      </c>
      <c r="C226" s="9" t="s">
        <v>0</v>
      </c>
      <c r="D226" s="1" t="s">
        <v>0</v>
      </c>
      <c r="E226" s="1" t="s">
        <v>0</v>
      </c>
      <c r="F226" t="s">
        <v>435</v>
      </c>
      <c r="G226">
        <f>IF(C226="Selected", F226, "")</f>
      </c>
    </row>
    <row r="227" spans="1:7" x14ac:dyDescent="0.25">
      <c r="A227" t="s">
        <v>0</v>
      </c>
      <c r="B227" s="1" t="s">
        <v>436</v>
      </c>
      <c r="C227" s="9" t="s">
        <v>0</v>
      </c>
      <c r="D227" s="1" t="s">
        <v>0</v>
      </c>
      <c r="E227" s="1" t="s">
        <v>0</v>
      </c>
      <c r="F227" t="s">
        <v>437</v>
      </c>
      <c r="G227">
        <f>IF(C227="Selected", F227, "")</f>
      </c>
    </row>
    <row r="228" spans="1:7" x14ac:dyDescent="0.25">
      <c r="A228" t="s">
        <v>0</v>
      </c>
      <c r="B228" s="1" t="s">
        <v>438</v>
      </c>
      <c r="C228" s="9" t="s">
        <v>0</v>
      </c>
      <c r="D228" s="1" t="s">
        <v>0</v>
      </c>
      <c r="E228" s="1" t="s">
        <v>0</v>
      </c>
      <c r="F228" t="s">
        <v>439</v>
      </c>
      <c r="G228">
        <f>IF(C228="Selected", F228, "")</f>
      </c>
    </row>
    <row r="229" spans="1:7" x14ac:dyDescent="0.25">
      <c r="A229" t="s">
        <v>0</v>
      </c>
      <c r="B229" s="1" t="s">
        <v>440</v>
      </c>
      <c r="C229" s="9" t="s">
        <v>0</v>
      </c>
      <c r="D229" s="1" t="s">
        <v>0</v>
      </c>
      <c r="E229" s="1" t="s">
        <v>0</v>
      </c>
      <c r="F229" t="s">
        <v>441</v>
      </c>
      <c r="G229">
        <f>IF(C229="Selected", F229, "")</f>
      </c>
    </row>
    <row r="230" spans="1:7" x14ac:dyDescent="0.25">
      <c r="A230" t="s">
        <v>0</v>
      </c>
      <c r="B230" s="1" t="s">
        <v>442</v>
      </c>
      <c r="C230" s="9" t="s">
        <v>0</v>
      </c>
      <c r="D230" s="1" t="s">
        <v>0</v>
      </c>
      <c r="E230" s="1" t="s">
        <v>0</v>
      </c>
      <c r="F230" t="s">
        <v>443</v>
      </c>
      <c r="G230">
        <f>IF(C230="Selected", F230, "")</f>
      </c>
    </row>
    <row r="231" spans="1:7" x14ac:dyDescent="0.25">
      <c r="A231" t="s">
        <v>0</v>
      </c>
      <c r="B231" s="1" t="s">
        <v>444</v>
      </c>
      <c r="C231" s="9" t="s">
        <v>0</v>
      </c>
      <c r="D231" s="1" t="s">
        <v>0</v>
      </c>
      <c r="E231" s="1" t="s">
        <v>0</v>
      </c>
      <c r="F231" t="s">
        <v>445</v>
      </c>
      <c r="G231">
        <f>IF(C231="Selected", F231, "")</f>
      </c>
    </row>
    <row r="232" spans="1:7" x14ac:dyDescent="0.25">
      <c r="A232" t="s">
        <v>0</v>
      </c>
      <c r="B232" s="1" t="s">
        <v>446</v>
      </c>
      <c r="C232" s="9" t="s">
        <v>0</v>
      </c>
      <c r="D232" s="1" t="s">
        <v>0</v>
      </c>
      <c r="E232" s="1" t="s">
        <v>0</v>
      </c>
      <c r="F232" t="s">
        <v>447</v>
      </c>
      <c r="G232">
        <f>IF(C232="Selected", F232, "")</f>
      </c>
    </row>
    <row r="233" spans="1:7" x14ac:dyDescent="0.25">
      <c r="A233" t="s">
        <v>0</v>
      </c>
      <c r="B233" s="1" t="s">
        <v>448</v>
      </c>
      <c r="C233" s="9" t="s">
        <v>0</v>
      </c>
      <c r="D233" s="1" t="s">
        <v>0</v>
      </c>
      <c r="E233" s="1" t="s">
        <v>0</v>
      </c>
      <c r="F233" t="s">
        <v>449</v>
      </c>
      <c r="G233">
        <f>IF(C233="Selected", F233, "")</f>
      </c>
    </row>
    <row r="234" spans="1:7" x14ac:dyDescent="0.25">
      <c r="A234" t="s">
        <v>0</v>
      </c>
      <c r="B234" s="1" t="s">
        <v>450</v>
      </c>
      <c r="C234" s="9" t="s">
        <v>0</v>
      </c>
      <c r="D234" s="1" t="s">
        <v>0</v>
      </c>
      <c r="E234" s="1" t="s">
        <v>0</v>
      </c>
      <c r="F234" t="s">
        <v>451</v>
      </c>
      <c r="G234">
        <f>IF(C234="Selected", F234, "")</f>
      </c>
    </row>
    <row r="235" spans="1:7" x14ac:dyDescent="0.25">
      <c r="A235" t="s">
        <v>0</v>
      </c>
      <c r="B235" s="1" t="s">
        <v>452</v>
      </c>
      <c r="C235" s="9" t="s">
        <v>0</v>
      </c>
      <c r="D235" s="1" t="s">
        <v>0</v>
      </c>
      <c r="E235" s="1" t="s">
        <v>0</v>
      </c>
      <c r="F235" t="s">
        <v>453</v>
      </c>
      <c r="G235">
        <f>IF(C235="Selected", F235, "")</f>
      </c>
    </row>
    <row r="236" spans="1:7" x14ac:dyDescent="0.25">
      <c r="A236" t="s">
        <v>0</v>
      </c>
      <c r="B236" s="1" t="s">
        <v>454</v>
      </c>
      <c r="C236" s="9" t="s">
        <v>0</v>
      </c>
      <c r="D236" s="1" t="s">
        <v>0</v>
      </c>
      <c r="E236" s="1" t="s">
        <v>0</v>
      </c>
      <c r="F236" t="s">
        <v>455</v>
      </c>
      <c r="G236">
        <f>IF(C236="Selected", F236, "")</f>
      </c>
    </row>
    <row r="237" spans="1:7" x14ac:dyDescent="0.25">
      <c r="A237" t="s">
        <v>0</v>
      </c>
      <c r="B237" s="1" t="s">
        <v>456</v>
      </c>
      <c r="C237" s="9" t="s">
        <v>0</v>
      </c>
      <c r="D237" s="1" t="s">
        <v>0</v>
      </c>
      <c r="E237" s="1" t="s">
        <v>0</v>
      </c>
      <c r="F237" t="s">
        <v>457</v>
      </c>
      <c r="G237">
        <f>IF(C237="Selected", F237, "")</f>
      </c>
    </row>
    <row r="238" spans="1:7" x14ac:dyDescent="0.25">
      <c r="A238" t="s">
        <v>0</v>
      </c>
      <c r="B238" s="1" t="s">
        <v>458</v>
      </c>
      <c r="C238" s="9" t="s">
        <v>0</v>
      </c>
      <c r="D238" s="1" t="s">
        <v>0</v>
      </c>
      <c r="E238" s="1" t="s">
        <v>0</v>
      </c>
      <c r="F238" t="s">
        <v>459</v>
      </c>
      <c r="G238">
        <f>IF(C238="Selected", F238, "")</f>
      </c>
    </row>
    <row r="239" spans="1:7" x14ac:dyDescent="0.25">
      <c r="A239" t="s">
        <v>0</v>
      </c>
      <c r="B239" s="1" t="s">
        <v>460</v>
      </c>
      <c r="C239" s="9" t="s">
        <v>0</v>
      </c>
      <c r="D239" s="1" t="s">
        <v>0</v>
      </c>
      <c r="E239" s="1" t="s">
        <v>0</v>
      </c>
      <c r="F239" t="s">
        <v>461</v>
      </c>
      <c r="G239">
        <f>IF(C239="Selected", F239, "")</f>
      </c>
    </row>
    <row r="240" spans="1:7" x14ac:dyDescent="0.25">
      <c r="A240" t="s">
        <v>0</v>
      </c>
      <c r="B240" s="1" t="s">
        <v>462</v>
      </c>
      <c r="C240" s="9" t="s">
        <v>0</v>
      </c>
      <c r="D240" s="1" t="s">
        <v>0</v>
      </c>
      <c r="E240" s="1" t="s">
        <v>0</v>
      </c>
      <c r="F240" t="s">
        <v>463</v>
      </c>
      <c r="G240">
        <f>IF(C240="Selected", F240, "")</f>
      </c>
    </row>
    <row r="241" spans="1:7" x14ac:dyDescent="0.25">
      <c r="A241" t="s">
        <v>0</v>
      </c>
      <c r="B241" s="1" t="s">
        <v>464</v>
      </c>
      <c r="C241" s="9" t="s">
        <v>0</v>
      </c>
      <c r="D241" s="1" t="s">
        <v>0</v>
      </c>
      <c r="E241" s="1" t="s">
        <v>0</v>
      </c>
      <c r="F241" t="s">
        <v>465</v>
      </c>
      <c r="G241">
        <f>IF(C241="Selected", F241, "")</f>
      </c>
    </row>
    <row r="242" spans="1:7" x14ac:dyDescent="0.25">
      <c r="A242" t="s">
        <v>0</v>
      </c>
      <c r="B242" s="1" t="s">
        <v>466</v>
      </c>
      <c r="C242" s="9" t="s">
        <v>0</v>
      </c>
      <c r="D242" s="1" t="s">
        <v>0</v>
      </c>
      <c r="E242" s="1" t="s">
        <v>0</v>
      </c>
      <c r="F242" t="s">
        <v>467</v>
      </c>
      <c r="G242">
        <f>IF(C242="Selected", F242, "")</f>
      </c>
    </row>
    <row r="243" spans="1:7" x14ac:dyDescent="0.25">
      <c r="A243" t="s">
        <v>0</v>
      </c>
      <c r="B243" s="1" t="s">
        <v>468</v>
      </c>
      <c r="C243" s="9" t="s">
        <v>0</v>
      </c>
      <c r="D243" s="1" t="s">
        <v>0</v>
      </c>
      <c r="E243" s="1" t="s">
        <v>0</v>
      </c>
      <c r="F243" t="s">
        <v>469</v>
      </c>
      <c r="G243">
        <f>IF(C243="Selected", F243, "")</f>
      </c>
    </row>
    <row r="244" spans="1:7" x14ac:dyDescent="0.25">
      <c r="A244" t="s">
        <v>0</v>
      </c>
      <c r="B244" s="1" t="s">
        <v>470</v>
      </c>
      <c r="C244" s="9" t="s">
        <v>0</v>
      </c>
      <c r="D244" s="1" t="s">
        <v>0</v>
      </c>
      <c r="E244" s="1" t="s">
        <v>0</v>
      </c>
      <c r="F244" t="s">
        <v>471</v>
      </c>
      <c r="G244">
        <f>IF(C244="Selected", F244, "")</f>
      </c>
    </row>
    <row r="245" spans="1:7" x14ac:dyDescent="0.25">
      <c r="A245" t="s">
        <v>0</v>
      </c>
      <c r="B245" s="1" t="s">
        <v>472</v>
      </c>
      <c r="C245" s="9" t="s">
        <v>0</v>
      </c>
      <c r="D245" s="1" t="s">
        <v>0</v>
      </c>
      <c r="E245" s="1" t="s">
        <v>0</v>
      </c>
      <c r="F245" t="s">
        <v>473</v>
      </c>
      <c r="G245">
        <f>IF(C245="Selected", F245, "")</f>
      </c>
    </row>
    <row r="246" spans="1:7" x14ac:dyDescent="0.25">
      <c r="A246" t="s">
        <v>0</v>
      </c>
      <c r="B246" s="1" t="s">
        <v>474</v>
      </c>
      <c r="C246" s="9" t="s">
        <v>0</v>
      </c>
      <c r="D246" s="1" t="s">
        <v>0</v>
      </c>
      <c r="E246" s="1" t="s">
        <v>0</v>
      </c>
      <c r="F246" t="s">
        <v>475</v>
      </c>
      <c r="G246">
        <f>IF(C246="Selected", F246, "")</f>
      </c>
    </row>
    <row r="247" spans="1:7" x14ac:dyDescent="0.25">
      <c r="A247" t="s">
        <v>0</v>
      </c>
      <c r="B247" s="1" t="s">
        <v>476</v>
      </c>
      <c r="C247" s="9" t="s">
        <v>0</v>
      </c>
      <c r="D247" s="1" t="s">
        <v>0</v>
      </c>
      <c r="E247" s="1" t="s">
        <v>0</v>
      </c>
      <c r="F247" t="s">
        <v>477</v>
      </c>
      <c r="G247">
        <f>IF(C247="Selected", F247, "")</f>
      </c>
    </row>
    <row r="248" spans="1:7" x14ac:dyDescent="0.25">
      <c r="A248" t="s">
        <v>0</v>
      </c>
      <c r="B248" s="1" t="s">
        <v>478</v>
      </c>
      <c r="C248" s="9" t="s">
        <v>0</v>
      </c>
      <c r="D248" s="1" t="s">
        <v>0</v>
      </c>
      <c r="E248" s="1" t="s">
        <v>0</v>
      </c>
      <c r="F248" t="s">
        <v>479</v>
      </c>
      <c r="G248">
        <f>IF(C248="Selected", F248, "")</f>
      </c>
    </row>
    <row r="249" spans="1:7" x14ac:dyDescent="0.25">
      <c r="A249" t="s">
        <v>0</v>
      </c>
      <c r="B249" s="1" t="s">
        <v>480</v>
      </c>
      <c r="C249" s="9" t="s">
        <v>0</v>
      </c>
      <c r="D249" s="1" t="s">
        <v>0</v>
      </c>
      <c r="E249" s="1" t="s">
        <v>0</v>
      </c>
      <c r="F249" t="s">
        <v>481</v>
      </c>
      <c r="G249">
        <f>IF(C249="Selected", F249, "")</f>
      </c>
    </row>
    <row r="250" spans="1:7" x14ac:dyDescent="0.25">
      <c r="A250" t="s">
        <v>0</v>
      </c>
      <c r="B250" s="1" t="s">
        <v>482</v>
      </c>
      <c r="C250" s="9" t="s">
        <v>0</v>
      </c>
      <c r="D250" s="1" t="s">
        <v>0</v>
      </c>
      <c r="E250" s="1" t="s">
        <v>0</v>
      </c>
      <c r="F250" t="s">
        <v>483</v>
      </c>
      <c r="G250">
        <f>IF(C250="Selected", F250, "")</f>
      </c>
    </row>
    <row r="251" spans="1:7" x14ac:dyDescent="0.25">
      <c r="A251" t="s">
        <v>0</v>
      </c>
      <c r="B251" s="1" t="s">
        <v>484</v>
      </c>
      <c r="C251" s="9" t="s">
        <v>0</v>
      </c>
      <c r="D251" s="1" t="s">
        <v>0</v>
      </c>
      <c r="E251" s="1" t="s">
        <v>0</v>
      </c>
      <c r="F251" t="s">
        <v>485</v>
      </c>
      <c r="G251">
        <f>IF(C251="Selected", F251, "")</f>
      </c>
    </row>
    <row r="252" spans="1:7" x14ac:dyDescent="0.25">
      <c r="A252" t="s">
        <v>0</v>
      </c>
      <c r="B252" s="1" t="s">
        <v>486</v>
      </c>
      <c r="C252" s="9" t="s">
        <v>0</v>
      </c>
      <c r="D252" s="1" t="s">
        <v>0</v>
      </c>
      <c r="E252" s="1" t="s">
        <v>0</v>
      </c>
      <c r="F252" t="s">
        <v>487</v>
      </c>
      <c r="G252">
        <f>IF(C252="Selected", F252, "")</f>
      </c>
    </row>
    <row r="253" spans="1:7" x14ac:dyDescent="0.25">
      <c r="A253" t="s">
        <v>0</v>
      </c>
      <c r="B253" s="1" t="s">
        <v>488</v>
      </c>
      <c r="C253" s="9" t="s">
        <v>0</v>
      </c>
      <c r="D253" s="1" t="s">
        <v>0</v>
      </c>
      <c r="E253" s="1" t="s">
        <v>0</v>
      </c>
      <c r="F253" t="s">
        <v>489</v>
      </c>
      <c r="G253">
        <f>IF(C253="Selected", F253, "")</f>
      </c>
    </row>
    <row r="254" spans="1:7" x14ac:dyDescent="0.25">
      <c r="A254" t="s">
        <v>0</v>
      </c>
      <c r="B254" s="1" t="s">
        <v>490</v>
      </c>
      <c r="C254" s="9" t="s">
        <v>0</v>
      </c>
      <c r="D254" s="1" t="s">
        <v>0</v>
      </c>
      <c r="E254" s="1" t="s">
        <v>0</v>
      </c>
      <c r="F254" t="s">
        <v>491</v>
      </c>
      <c r="G254">
        <f>IF(C254="Selected", F254, "")</f>
      </c>
    </row>
    <row r="255" spans="1:7" x14ac:dyDescent="0.25">
      <c r="A255" t="s">
        <v>0</v>
      </c>
      <c r="B255" s="1" t="s">
        <v>492</v>
      </c>
      <c r="C255" s="9" t="s">
        <v>0</v>
      </c>
      <c r="D255" s="1" t="s">
        <v>0</v>
      </c>
      <c r="E255" s="1" t="s">
        <v>0</v>
      </c>
      <c r="F255" t="s">
        <v>493</v>
      </c>
      <c r="G255">
        <f>IF(C255="Selected", F255, "")</f>
      </c>
    </row>
    <row r="256" spans="1:7" x14ac:dyDescent="0.25">
      <c r="A256" t="s">
        <v>0</v>
      </c>
      <c r="B256" s="1" t="s">
        <v>494</v>
      </c>
      <c r="C256" s="9" t="s">
        <v>0</v>
      </c>
      <c r="D256" s="1" t="s">
        <v>0</v>
      </c>
      <c r="E256" s="1" t="s">
        <v>0</v>
      </c>
      <c r="F256" t="s">
        <v>495</v>
      </c>
      <c r="G256">
        <f>IF(C256="Selected", F256, "")</f>
      </c>
    </row>
    <row r="257" spans="1:7" x14ac:dyDescent="0.25">
      <c r="A257" t="s">
        <v>0</v>
      </c>
      <c r="B257" s="1" t="s">
        <v>496</v>
      </c>
      <c r="C257" s="9" t="s">
        <v>0</v>
      </c>
      <c r="D257" s="1" t="s">
        <v>0</v>
      </c>
      <c r="E257" s="1" t="s">
        <v>0</v>
      </c>
      <c r="F257" t="s">
        <v>497</v>
      </c>
      <c r="G257">
        <f>IF(C257="Selected", F257, "")</f>
      </c>
    </row>
    <row r="258" spans="1:7" x14ac:dyDescent="0.25">
      <c r="A258" t="s">
        <v>0</v>
      </c>
      <c r="B258" s="1" t="s">
        <v>498</v>
      </c>
      <c r="C258" s="9" t="s">
        <v>0</v>
      </c>
      <c r="D258" s="1" t="s">
        <v>0</v>
      </c>
      <c r="E258" s="1" t="s">
        <v>0</v>
      </c>
      <c r="F258" t="s">
        <v>499</v>
      </c>
      <c r="G258">
        <f>IF(C258="Selected", F258, "")</f>
      </c>
    </row>
    <row r="259" spans="1:7" x14ac:dyDescent="0.25">
      <c r="A259" t="s">
        <v>0</v>
      </c>
      <c r="B259" s="1" t="s">
        <v>500</v>
      </c>
      <c r="C259" s="9" t="s">
        <v>0</v>
      </c>
      <c r="D259" s="1" t="s">
        <v>0</v>
      </c>
      <c r="E259" s="1" t="s">
        <v>0</v>
      </c>
      <c r="F259" t="s">
        <v>501</v>
      </c>
      <c r="G259">
        <f>IF(C259="Selected", F259, "")</f>
      </c>
    </row>
    <row r="260" spans="1:7" x14ac:dyDescent="0.25">
      <c r="A260" t="s">
        <v>0</v>
      </c>
      <c r="B260" s="1" t="s">
        <v>502</v>
      </c>
      <c r="C260" s="9" t="s">
        <v>0</v>
      </c>
      <c r="D260" s="1" t="s">
        <v>0</v>
      </c>
      <c r="E260" s="1" t="s">
        <v>0</v>
      </c>
      <c r="F260" t="s">
        <v>503</v>
      </c>
      <c r="G260">
        <f>IF(C260="Selected", F260, "")</f>
      </c>
    </row>
    <row r="261" spans="1:7" x14ac:dyDescent="0.25">
      <c r="A261" t="s">
        <v>0</v>
      </c>
      <c r="B261" s="1" t="s">
        <v>504</v>
      </c>
      <c r="C261" s="9" t="s">
        <v>0</v>
      </c>
      <c r="D261" s="1" t="s">
        <v>0</v>
      </c>
      <c r="E261" s="1" t="s">
        <v>0</v>
      </c>
      <c r="F261" t="s">
        <v>505</v>
      </c>
      <c r="G261">
        <f>IF(C261="Selected", F261, "")</f>
      </c>
    </row>
    <row r="262" spans="1:7" x14ac:dyDescent="0.25">
      <c r="A262" t="s">
        <v>0</v>
      </c>
      <c r="B262" s="1" t="s">
        <v>506</v>
      </c>
      <c r="C262" s="9" t="s">
        <v>0</v>
      </c>
      <c r="D262" s="1" t="s">
        <v>0</v>
      </c>
      <c r="E262" s="1" t="s">
        <v>0</v>
      </c>
      <c r="F262" t="s">
        <v>507</v>
      </c>
      <c r="G262">
        <f>IF(C262="Selected", F262, "")</f>
      </c>
    </row>
    <row r="263" spans="1:7" x14ac:dyDescent="0.25">
      <c r="A263" t="s">
        <v>0</v>
      </c>
      <c r="B263" s="1" t="s">
        <v>508</v>
      </c>
      <c r="C263" s="9" t="s">
        <v>0</v>
      </c>
      <c r="D263" s="1" t="s">
        <v>0</v>
      </c>
      <c r="E263" s="1" t="s">
        <v>0</v>
      </c>
      <c r="F263" t="s">
        <v>509</v>
      </c>
      <c r="G263">
        <f>IF(C263="Selected", F263, "")</f>
      </c>
    </row>
    <row r="264" spans="1:7" x14ac:dyDescent="0.25">
      <c r="A264" t="s">
        <v>0</v>
      </c>
      <c r="B264" s="1" t="s">
        <v>510</v>
      </c>
      <c r="C264" s="9" t="s">
        <v>0</v>
      </c>
      <c r="D264" s="1" t="s">
        <v>0</v>
      </c>
      <c r="E264" s="1" t="s">
        <v>0</v>
      </c>
      <c r="F264" t="s">
        <v>511</v>
      </c>
      <c r="G264">
        <f>IF(C264="Selected", F264, "")</f>
      </c>
    </row>
    <row r="265" spans="1:7" x14ac:dyDescent="0.25">
      <c r="A265" t="s">
        <v>0</v>
      </c>
      <c r="B265" s="1" t="s">
        <v>512</v>
      </c>
      <c r="C265" s="9" t="s">
        <v>0</v>
      </c>
      <c r="D265" s="1" t="s">
        <v>0</v>
      </c>
      <c r="E265" s="1" t="s">
        <v>0</v>
      </c>
      <c r="F265" t="s">
        <v>513</v>
      </c>
      <c r="G265">
        <f>IF(C265="Selected", F265, "")</f>
      </c>
    </row>
    <row r="266" spans="1:7" x14ac:dyDescent="0.25">
      <c r="A266" t="s">
        <v>0</v>
      </c>
      <c r="B266" s="1" t="s">
        <v>514</v>
      </c>
      <c r="C266" s="9" t="s">
        <v>0</v>
      </c>
      <c r="D266" s="1" t="s">
        <v>0</v>
      </c>
      <c r="E266" s="1" t="s">
        <v>0</v>
      </c>
      <c r="F266" t="s">
        <v>515</v>
      </c>
      <c r="G266">
        <f>IF(C266="Selected", F266, "")</f>
      </c>
    </row>
    <row r="267" spans="1:7" x14ac:dyDescent="0.25">
      <c r="A267" t="s">
        <v>0</v>
      </c>
      <c r="B267" s="1" t="s">
        <v>516</v>
      </c>
      <c r="C267" s="9" t="s">
        <v>0</v>
      </c>
      <c r="D267" s="1" t="s">
        <v>0</v>
      </c>
      <c r="E267" s="1" t="s">
        <v>0</v>
      </c>
      <c r="F267" t="s">
        <v>517</v>
      </c>
      <c r="G267">
        <f>IF(C267="Selected", F267, "")</f>
      </c>
    </row>
    <row r="268" spans="1:7" x14ac:dyDescent="0.25">
      <c r="A268" t="s">
        <v>0</v>
      </c>
      <c r="B268" s="1" t="s">
        <v>518</v>
      </c>
      <c r="C268" s="9" t="s">
        <v>0</v>
      </c>
      <c r="D268" s="1" t="s">
        <v>0</v>
      </c>
      <c r="E268" s="1" t="s">
        <v>0</v>
      </c>
      <c r="F268" t="s">
        <v>519</v>
      </c>
      <c r="G268">
        <f>IF(C268="Selected", F268, "")</f>
      </c>
    </row>
    <row r="269" spans="1:7" x14ac:dyDescent="0.25">
      <c r="A269" t="s">
        <v>0</v>
      </c>
      <c r="B269" s="1" t="s">
        <v>520</v>
      </c>
      <c r="C269" s="9" t="s">
        <v>0</v>
      </c>
      <c r="D269" s="1" t="s">
        <v>0</v>
      </c>
      <c r="E269" s="1" t="s">
        <v>0</v>
      </c>
      <c r="F269" t="s">
        <v>521</v>
      </c>
      <c r="G269">
        <f>IF(C269="Selected", F269, "")</f>
      </c>
    </row>
    <row r="270" spans="1:7" x14ac:dyDescent="0.25">
      <c r="A270" t="s">
        <v>0</v>
      </c>
      <c r="B270" s="1" t="s">
        <v>522</v>
      </c>
      <c r="C270" s="9" t="s">
        <v>0</v>
      </c>
      <c r="D270" s="1" t="s">
        <v>0</v>
      </c>
      <c r="E270" s="1" t="s">
        <v>0</v>
      </c>
      <c r="F270" t="s">
        <v>523</v>
      </c>
      <c r="G270">
        <f>IF(C270="Selected", F270, "")</f>
      </c>
    </row>
    <row r="271" spans="1:7" x14ac:dyDescent="0.25">
      <c r="A271" t="s">
        <v>0</v>
      </c>
      <c r="B271" s="1" t="s">
        <v>524</v>
      </c>
      <c r="C271" s="9" t="s">
        <v>0</v>
      </c>
      <c r="D271" s="1" t="s">
        <v>0</v>
      </c>
      <c r="E271" s="1" t="s">
        <v>0</v>
      </c>
      <c r="F271" t="s">
        <v>525</v>
      </c>
      <c r="G271">
        <f>IF(C271="Selected", F271, "")</f>
      </c>
    </row>
    <row r="272" spans="1:7" x14ac:dyDescent="0.25">
      <c r="A272" t="s">
        <v>0</v>
      </c>
      <c r="B272" s="1" t="s">
        <v>526</v>
      </c>
      <c r="C272" s="9" t="s">
        <v>0</v>
      </c>
      <c r="D272" s="1" t="s">
        <v>0</v>
      </c>
      <c r="E272" s="1" t="s">
        <v>0</v>
      </c>
      <c r="F272" t="s">
        <v>527</v>
      </c>
      <c r="G272">
        <f>IF(C272="Selected", F272, "")</f>
      </c>
    </row>
    <row r="273" spans="1:7" x14ac:dyDescent="0.25">
      <c r="A273" t="s">
        <v>0</v>
      </c>
      <c r="B273" s="1" t="s">
        <v>528</v>
      </c>
      <c r="C273" s="9" t="s">
        <v>0</v>
      </c>
      <c r="D273" s="1" t="s">
        <v>0</v>
      </c>
      <c r="E273" s="1" t="s">
        <v>0</v>
      </c>
      <c r="F273" t="s">
        <v>529</v>
      </c>
      <c r="G273">
        <f>IF(C273="Selected", F273, "")</f>
      </c>
    </row>
    <row r="274" spans="1:7" x14ac:dyDescent="0.25">
      <c r="A274" t="s">
        <v>0</v>
      </c>
      <c r="B274" s="1" t="s">
        <v>530</v>
      </c>
      <c r="C274" s="9" t="s">
        <v>0</v>
      </c>
      <c r="D274" s="1" t="s">
        <v>0</v>
      </c>
      <c r="E274" s="1" t="s">
        <v>0</v>
      </c>
      <c r="F274" t="s">
        <v>531</v>
      </c>
      <c r="G274">
        <f>IF(C274="Selected", F274, "")</f>
      </c>
    </row>
    <row r="275" spans="1:7" x14ac:dyDescent="0.25">
      <c r="A275" t="s">
        <v>0</v>
      </c>
      <c r="B275" s="1" t="s">
        <v>532</v>
      </c>
      <c r="C275" s="9" t="s">
        <v>0</v>
      </c>
      <c r="D275" s="1" t="s">
        <v>0</v>
      </c>
      <c r="E275" s="1" t="s">
        <v>0</v>
      </c>
      <c r="F275" t="s">
        <v>533</v>
      </c>
      <c r="G275">
        <f>IF(C275="Selected", F275, "")</f>
      </c>
    </row>
    <row r="276" spans="1:7" x14ac:dyDescent="0.25">
      <c r="A276" t="s">
        <v>0</v>
      </c>
      <c r="B276" s="1" t="s">
        <v>534</v>
      </c>
      <c r="C276" s="9" t="s">
        <v>0</v>
      </c>
      <c r="D276" s="1" t="s">
        <v>0</v>
      </c>
      <c r="E276" s="1" t="s">
        <v>0</v>
      </c>
      <c r="F276" t="s">
        <v>535</v>
      </c>
      <c r="G276">
        <f>IF(C276="Selected", F276, "")</f>
      </c>
    </row>
    <row r="277" spans="1:7" x14ac:dyDescent="0.25">
      <c r="A277" t="s">
        <v>0</v>
      </c>
      <c r="B277" s="1" t="s">
        <v>536</v>
      </c>
      <c r="C277" s="9" t="s">
        <v>0</v>
      </c>
      <c r="D277" s="1" t="s">
        <v>0</v>
      </c>
      <c r="E277" s="1" t="s">
        <v>0</v>
      </c>
      <c r="F277" t="s">
        <v>537</v>
      </c>
      <c r="G277">
        <f>IF(C277="Selected", F277, "")</f>
      </c>
    </row>
    <row r="278" spans="1:7" x14ac:dyDescent="0.25">
      <c r="A278" t="s">
        <v>0</v>
      </c>
      <c r="B278" s="1" t="s">
        <v>538</v>
      </c>
      <c r="C278" s="9" t="s">
        <v>0</v>
      </c>
      <c r="D278" s="1" t="s">
        <v>0</v>
      </c>
      <c r="E278" s="1" t="s">
        <v>0</v>
      </c>
      <c r="F278" t="s">
        <v>539</v>
      </c>
      <c r="G278">
        <f>IF(C278="Selected", F278, "")</f>
      </c>
    </row>
    <row r="279" spans="1:7" x14ac:dyDescent="0.25">
      <c r="A279" t="s">
        <v>0</v>
      </c>
      <c r="B279" s="1" t="s">
        <v>540</v>
      </c>
      <c r="C279" s="9" t="s">
        <v>0</v>
      </c>
      <c r="D279" s="1" t="s">
        <v>0</v>
      </c>
      <c r="E279" s="1" t="s">
        <v>0</v>
      </c>
      <c r="F279" t="s">
        <v>541</v>
      </c>
      <c r="G279">
        <f>IF(C279="Selected", F279, "")</f>
      </c>
    </row>
    <row r="280" spans="1:7" x14ac:dyDescent="0.25">
      <c r="A280" t="s">
        <v>0</v>
      </c>
      <c r="B280" s="1" t="s">
        <v>542</v>
      </c>
      <c r="C280" s="9" t="s">
        <v>0</v>
      </c>
      <c r="D280" s="1" t="s">
        <v>0</v>
      </c>
      <c r="E280" s="1" t="s">
        <v>0</v>
      </c>
      <c r="F280" t="s">
        <v>543</v>
      </c>
      <c r="G280">
        <f>IF(C280="Selected", F280, "")</f>
      </c>
    </row>
    <row r="281" spans="1:7" x14ac:dyDescent="0.25">
      <c r="A281" t="s">
        <v>0</v>
      </c>
      <c r="B281" s="1" t="s">
        <v>544</v>
      </c>
      <c r="C281" s="9" t="s">
        <v>0</v>
      </c>
      <c r="D281" s="1" t="s">
        <v>0</v>
      </c>
      <c r="E281" s="1" t="s">
        <v>0</v>
      </c>
      <c r="F281" t="s">
        <v>545</v>
      </c>
      <c r="G281">
        <f>IF(C281="Selected", F281, "")</f>
      </c>
    </row>
    <row r="282" spans="1:7" x14ac:dyDescent="0.25">
      <c r="A282" t="s">
        <v>0</v>
      </c>
      <c r="B282" s="1" t="s">
        <v>546</v>
      </c>
      <c r="C282" s="9" t="s">
        <v>0</v>
      </c>
      <c r="D282" s="1" t="s">
        <v>0</v>
      </c>
      <c r="E282" s="1" t="s">
        <v>0</v>
      </c>
      <c r="F282" t="s">
        <v>547</v>
      </c>
      <c r="G282">
        <f>IF(C282="Selected", F282, "")</f>
      </c>
    </row>
    <row r="283" spans="1:7" x14ac:dyDescent="0.25">
      <c r="A283" t="s">
        <v>0</v>
      </c>
      <c r="B283" s="1" t="s">
        <v>548</v>
      </c>
      <c r="C283" s="9" t="s">
        <v>0</v>
      </c>
      <c r="D283" s="1" t="s">
        <v>0</v>
      </c>
      <c r="E283" s="1" t="s">
        <v>0</v>
      </c>
      <c r="F283" t="s">
        <v>549</v>
      </c>
      <c r="G283">
        <f>IF(C283="Selected", F283, "")</f>
      </c>
    </row>
    <row r="284" spans="1:7" x14ac:dyDescent="0.25">
      <c r="A284" t="s">
        <v>0</v>
      </c>
      <c r="B284" s="1" t="s">
        <v>550</v>
      </c>
      <c r="C284" s="9" t="s">
        <v>0</v>
      </c>
      <c r="D284" s="1" t="s">
        <v>0</v>
      </c>
      <c r="E284" s="1" t="s">
        <v>0</v>
      </c>
      <c r="F284" t="s">
        <v>551</v>
      </c>
      <c r="G284">
        <f>IF(C284="Selected", F284, "")</f>
      </c>
    </row>
    <row r="285" spans="1:7" x14ac:dyDescent="0.25">
      <c r="A285" t="s">
        <v>0</v>
      </c>
      <c r="B285" s="1" t="s">
        <v>552</v>
      </c>
      <c r="C285" s="9" t="s">
        <v>0</v>
      </c>
      <c r="D285" s="1" t="s">
        <v>0</v>
      </c>
      <c r="E285" s="1" t="s">
        <v>0</v>
      </c>
      <c r="F285" t="s">
        <v>553</v>
      </c>
      <c r="G285">
        <f>IF(C285="Selected", F285, "")</f>
      </c>
    </row>
    <row r="286" spans="1:7" x14ac:dyDescent="0.25">
      <c r="A286" t="s">
        <v>0</v>
      </c>
      <c r="B286" s="1" t="s">
        <v>554</v>
      </c>
      <c r="C286" s="9" t="s">
        <v>0</v>
      </c>
      <c r="D286" s="1" t="s">
        <v>0</v>
      </c>
      <c r="E286" s="1" t="s">
        <v>0</v>
      </c>
      <c r="F286" t="s">
        <v>555</v>
      </c>
      <c r="G286">
        <f>IF(C286="Selected", F286, "")</f>
      </c>
    </row>
    <row r="287" spans="1:7" x14ac:dyDescent="0.25">
      <c r="A287" t="s">
        <v>0</v>
      </c>
      <c r="B287" s="1" t="s">
        <v>556</v>
      </c>
      <c r="C287" s="9" t="s">
        <v>0</v>
      </c>
      <c r="D287" s="1" t="s">
        <v>0</v>
      </c>
      <c r="E287" s="1" t="s">
        <v>0</v>
      </c>
      <c r="F287" t="s">
        <v>557</v>
      </c>
      <c r="G287">
        <f>IF(C287="Selected", F287, "")</f>
      </c>
    </row>
    <row r="288" spans="1:7" x14ac:dyDescent="0.25">
      <c r="A288" t="s">
        <v>0</v>
      </c>
      <c r="B288" s="1" t="s">
        <v>558</v>
      </c>
      <c r="C288" s="9" t="s">
        <v>0</v>
      </c>
      <c r="D288" s="1" t="s">
        <v>0</v>
      </c>
      <c r="E288" s="1" t="s">
        <v>0</v>
      </c>
      <c r="F288" t="s">
        <v>559</v>
      </c>
      <c r="G288">
        <f>IF(C288="Selected", F288, "")</f>
      </c>
    </row>
    <row r="289" spans="1:7" x14ac:dyDescent="0.25">
      <c r="A289" t="s">
        <v>0</v>
      </c>
      <c r="B289" s="1" t="s">
        <v>560</v>
      </c>
      <c r="C289" s="9" t="s">
        <v>0</v>
      </c>
      <c r="D289" s="1" t="s">
        <v>0</v>
      </c>
      <c r="E289" s="1" t="s">
        <v>0</v>
      </c>
      <c r="F289" t="s">
        <v>561</v>
      </c>
      <c r="G289">
        <f>IF(C289="Selected", F289, "")</f>
      </c>
    </row>
    <row r="290" spans="1:7" x14ac:dyDescent="0.25">
      <c r="A290" t="s">
        <v>0</v>
      </c>
      <c r="B290" s="1" t="s">
        <v>562</v>
      </c>
      <c r="C290" s="9" t="s">
        <v>0</v>
      </c>
      <c r="D290" s="1" t="s">
        <v>0</v>
      </c>
      <c r="E290" s="1" t="s">
        <v>0</v>
      </c>
      <c r="F290" t="s">
        <v>563</v>
      </c>
      <c r="G290">
        <f>IF(C290="Selected", F290, "")</f>
      </c>
    </row>
    <row r="291" spans="1:7" x14ac:dyDescent="0.25">
      <c r="A291" t="s">
        <v>0</v>
      </c>
      <c r="B291" s="1" t="s">
        <v>564</v>
      </c>
      <c r="C291" s="9" t="s">
        <v>0</v>
      </c>
      <c r="D291" s="1" t="s">
        <v>0</v>
      </c>
      <c r="E291" s="1" t="s">
        <v>0</v>
      </c>
      <c r="F291" t="s">
        <v>565</v>
      </c>
      <c r="G291">
        <f>IF(C291="Selected", F291, "")</f>
      </c>
    </row>
    <row r="292" spans="1:7" x14ac:dyDescent="0.25">
      <c r="A292" t="s">
        <v>0</v>
      </c>
      <c r="B292" s="1" t="s">
        <v>566</v>
      </c>
      <c r="C292" s="9" t="s">
        <v>0</v>
      </c>
      <c r="D292" s="1" t="s">
        <v>0</v>
      </c>
      <c r="E292" s="1" t="s">
        <v>0</v>
      </c>
      <c r="F292" t="s">
        <v>567</v>
      </c>
      <c r="G292">
        <f>IF(C292="Selected", F292, "")</f>
      </c>
    </row>
    <row r="293" spans="1:7" x14ac:dyDescent="0.25">
      <c r="A293" t="s">
        <v>0</v>
      </c>
      <c r="B293" s="1" t="s">
        <v>568</v>
      </c>
      <c r="C293" s="9" t="s">
        <v>0</v>
      </c>
      <c r="D293" s="1" t="s">
        <v>0</v>
      </c>
      <c r="E293" s="1" t="s">
        <v>0</v>
      </c>
      <c r="F293" t="s">
        <v>569</v>
      </c>
      <c r="G293">
        <f>IF(C293="Selected", F293, "")</f>
      </c>
    </row>
    <row r="294" spans="1:7" x14ac:dyDescent="0.25">
      <c r="A294" t="s">
        <v>0</v>
      </c>
      <c r="B294" s="1" t="s">
        <v>570</v>
      </c>
      <c r="C294" s="9" t="s">
        <v>0</v>
      </c>
      <c r="D294" s="1" t="s">
        <v>0</v>
      </c>
      <c r="E294" s="1" t="s">
        <v>0</v>
      </c>
      <c r="F294" t="s">
        <v>571</v>
      </c>
      <c r="G294">
        <f>IF(C294="Selected", F294, "")</f>
      </c>
    </row>
    <row r="295" spans="1:7" x14ac:dyDescent="0.25">
      <c r="A295" t="s">
        <v>0</v>
      </c>
      <c r="B295" s="1" t="s">
        <v>572</v>
      </c>
      <c r="C295" s="9" t="s">
        <v>0</v>
      </c>
      <c r="D295" s="1" t="s">
        <v>0</v>
      </c>
      <c r="E295" s="1" t="s">
        <v>0</v>
      </c>
      <c r="F295" t="s">
        <v>573</v>
      </c>
      <c r="G295">
        <f>IF(C295="Selected", F295, "")</f>
      </c>
    </row>
    <row r="296" spans="1:7" x14ac:dyDescent="0.25">
      <c r="A296" t="s">
        <v>0</v>
      </c>
      <c r="B296" s="1" t="s">
        <v>574</v>
      </c>
      <c r="C296" s="9" t="s">
        <v>0</v>
      </c>
      <c r="D296" s="1" t="s">
        <v>0</v>
      </c>
      <c r="E296" s="1" t="s">
        <v>0</v>
      </c>
      <c r="F296" t="s">
        <v>575</v>
      </c>
      <c r="G296">
        <f>IF(C296="Selected", F296, "")</f>
      </c>
    </row>
    <row r="297" spans="1:7" x14ac:dyDescent="0.25">
      <c r="A297" t="s">
        <v>0</v>
      </c>
      <c r="B297" s="1" t="s">
        <v>576</v>
      </c>
      <c r="C297" s="9" t="s">
        <v>0</v>
      </c>
      <c r="D297" s="1" t="s">
        <v>0</v>
      </c>
      <c r="E297" s="1" t="s">
        <v>0</v>
      </c>
      <c r="F297" t="s">
        <v>577</v>
      </c>
      <c r="G297">
        <f>IF(C297="Selected", F297, "")</f>
      </c>
    </row>
    <row r="298" spans="1:1" x14ac:dyDescent="0.25">
      <c r="A298" t="s">
        <v>0</v>
      </c>
    </row>
    <row r="299" spans="1:7" x14ac:dyDescent="0.25">
      <c r="A299" t="s">
        <v>0</v>
      </c>
      <c r="B299" s="1" t="s">
        <v>578</v>
      </c>
      <c r="C299" s="5" t="s">
        <v>0</v>
      </c>
      <c r="D299" s="1" t="s">
        <v>0</v>
      </c>
      <c r="E299" s="1" t="s">
        <v>579</v>
      </c>
      <c r="F299" t="s">
        <v>580</v>
      </c>
      <c r="G299">
        <f>IFERROR(VLOOKUP(C299, 'ReferenceData'!$Q$1:$R$3, 2, 0), "")</f>
      </c>
    </row>
    <row r="300" spans="1:7" x14ac:dyDescent="0.25">
      <c r="A300" t="s">
        <v>0</v>
      </c>
      <c r="B300" s="6" t="s">
        <v>581</v>
      </c>
      <c r="C300" s="1" t="s">
        <v>0</v>
      </c>
      <c r="D300" s="1" t="s">
        <v>0</v>
      </c>
      <c r="E300" s="1" t="s">
        <v>0</v>
      </c>
      <c r="F300" t="s">
        <v>0</v>
      </c>
      <c r="G300" t="s">
        <v>0</v>
      </c>
    </row>
    <row r="301" spans="1:6" x14ac:dyDescent="0.25">
      <c r="A301" t="s">
        <v>0</v>
      </c>
      <c r="B301" s="1" t="s">
        <v>582</v>
      </c>
      <c r="C301" s="5" t="s">
        <v>0</v>
      </c>
      <c r="D301" s="1" t="s">
        <v>0</v>
      </c>
      <c r="E301" s="1" t="s">
        <v>583</v>
      </c>
      <c r="F301" t="s">
        <v>584</v>
      </c>
    </row>
    <row r="302" spans="1:7" x14ac:dyDescent="0.25">
      <c r="A302" t="s">
        <v>0</v>
      </c>
      <c r="B302" s="6" t="s">
        <v>585</v>
      </c>
      <c r="C302" s="1" t="s">
        <v>0</v>
      </c>
      <c r="D302" s="1" t="s">
        <v>0</v>
      </c>
      <c r="E302" s="1" t="s">
        <v>0</v>
      </c>
      <c r="F302" t="s">
        <v>0</v>
      </c>
      <c r="G302" t="s">
        <v>0</v>
      </c>
    </row>
    <row r="303" spans="1:6" x14ac:dyDescent="0.25">
      <c r="A303" t="s">
        <v>0</v>
      </c>
      <c r="B303" s="1" t="s">
        <v>586</v>
      </c>
      <c r="C303" s="5" t="s">
        <v>0</v>
      </c>
      <c r="D303" s="1" t="s">
        <v>0</v>
      </c>
      <c r="E303" s="1" t="s">
        <v>583</v>
      </c>
      <c r="F303" t="s">
        <v>587</v>
      </c>
    </row>
    <row r="304" spans="1:7" x14ac:dyDescent="0.25">
      <c r="A304" t="s">
        <v>0</v>
      </c>
      <c r="B304" s="1" t="s">
        <v>588</v>
      </c>
      <c r="C304" s="5" t="s">
        <v>0</v>
      </c>
      <c r="D304" s="1" t="s">
        <v>0</v>
      </c>
      <c r="E304" s="1" t="s">
        <v>589</v>
      </c>
      <c r="F304" t="s">
        <v>590</v>
      </c>
      <c r="G304">
        <f>IFERROR(VLOOKUP(C304, 'ReferenceData'!$S$1:$T$3, 2, 0), "")</f>
      </c>
    </row>
    <row r="305" spans="1:1" x14ac:dyDescent="0.25">
      <c r="A305" t="s">
        <v>0</v>
      </c>
    </row>
    <row r="306" spans="1:6" s="7" customFormat="1" x14ac:dyDescent="0.25">
      <c r="A306" s="7" t="s">
        <v>0</v>
      </c>
      <c r="B306" s="8" t="s">
        <v>591</v>
      </c>
      <c r="C306" s="8" t="s">
        <v>0</v>
      </c>
      <c r="D306" s="8" t="s">
        <v>0</v>
      </c>
      <c r="E306" s="8" t="s">
        <v>592</v>
      </c>
      <c r="F306" s="7">
        <f>TEXTJOIN("; ", TRUE, G307:G312)</f>
      </c>
    </row>
    <row r="307" spans="1:7" x14ac:dyDescent="0.25">
      <c r="A307" t="s">
        <v>0</v>
      </c>
      <c r="B307" s="1" t="s">
        <v>593</v>
      </c>
      <c r="C307" s="9" t="s">
        <v>0</v>
      </c>
      <c r="D307" s="1" t="s">
        <v>0</v>
      </c>
      <c r="E307" s="1" t="s">
        <v>0</v>
      </c>
      <c r="F307" t="s">
        <v>594</v>
      </c>
      <c r="G307">
        <f>IF(C307="Selected", F307, "")</f>
      </c>
    </row>
    <row r="308" spans="1:7" x14ac:dyDescent="0.25">
      <c r="A308" t="s">
        <v>0</v>
      </c>
      <c r="B308" s="1" t="s">
        <v>595</v>
      </c>
      <c r="C308" s="9" t="s">
        <v>0</v>
      </c>
      <c r="D308" s="1" t="s">
        <v>0</v>
      </c>
      <c r="E308" s="1" t="s">
        <v>0</v>
      </c>
      <c r="F308" t="s">
        <v>596</v>
      </c>
      <c r="G308">
        <f>IF(C308="Selected", F308, "")</f>
      </c>
    </row>
    <row r="309" spans="1:7" x14ac:dyDescent="0.25">
      <c r="A309" t="s">
        <v>0</v>
      </c>
      <c r="B309" s="1" t="s">
        <v>597</v>
      </c>
      <c r="C309" s="9" t="s">
        <v>0</v>
      </c>
      <c r="D309" s="1" t="s">
        <v>0</v>
      </c>
      <c r="E309" s="1" t="s">
        <v>0</v>
      </c>
      <c r="F309" t="s">
        <v>598</v>
      </c>
      <c r="G309">
        <f>IF(C309="Selected", F309, "")</f>
      </c>
    </row>
    <row r="310" spans="1:7" x14ac:dyDescent="0.25">
      <c r="A310" t="s">
        <v>0</v>
      </c>
      <c r="B310" s="1" t="s">
        <v>599</v>
      </c>
      <c r="C310" s="9" t="s">
        <v>0</v>
      </c>
      <c r="D310" s="1" t="s">
        <v>0</v>
      </c>
      <c r="E310" s="1" t="s">
        <v>0</v>
      </c>
      <c r="F310" t="s">
        <v>600</v>
      </c>
      <c r="G310">
        <f>IF(C310="Selected", F310, "")</f>
      </c>
    </row>
    <row r="311" spans="1:7" x14ac:dyDescent="0.25">
      <c r="A311" t="s">
        <v>0</v>
      </c>
      <c r="B311" s="1" t="s">
        <v>601</v>
      </c>
      <c r="C311" s="9" t="s">
        <v>0</v>
      </c>
      <c r="D311" s="1" t="s">
        <v>0</v>
      </c>
      <c r="E311" s="1" t="s">
        <v>0</v>
      </c>
      <c r="F311" t="s">
        <v>602</v>
      </c>
      <c r="G311">
        <f>IF(C311="Selected", F311, "")</f>
      </c>
    </row>
    <row r="312" spans="1:7" x14ac:dyDescent="0.25">
      <c r="A312" t="s">
        <v>0</v>
      </c>
      <c r="B312" s="1" t="s">
        <v>90</v>
      </c>
      <c r="C312" s="9" t="s">
        <v>0</v>
      </c>
      <c r="D312" s="1" t="s">
        <v>0</v>
      </c>
      <c r="E312" s="1" t="s">
        <v>0</v>
      </c>
      <c r="F312" t="s">
        <v>91</v>
      </c>
      <c r="G312">
        <f>IF(C312="Selected", F312, "")</f>
      </c>
    </row>
    <row r="313" spans="1:1" x14ac:dyDescent="0.25">
      <c r="A313" t="s">
        <v>0</v>
      </c>
    </row>
    <row r="314" spans="1:7" x14ac:dyDescent="0.25">
      <c r="A314" t="s">
        <v>0</v>
      </c>
      <c r="B314" s="1" t="s">
        <v>603</v>
      </c>
      <c r="C314" s="5" t="s">
        <v>0</v>
      </c>
      <c r="D314" s="1" t="s">
        <v>0</v>
      </c>
      <c r="E314" s="1" t="s">
        <v>604</v>
      </c>
      <c r="F314" t="s">
        <v>605</v>
      </c>
      <c r="G314">
        <f>IFERROR(VLOOKUP(C314, 'ReferenceData'!$U$1:$V$2, 2, 0), "")</f>
      </c>
    </row>
    <row r="315" ht="32" customHeight="1" spans="1:7" x14ac:dyDescent="0.25">
      <c r="A315" s="4" t="s">
        <v>606</v>
      </c>
      <c r="B315" s="4"/>
      <c r="C315" s="4"/>
      <c r="D315" s="4"/>
      <c r="E315" s="4"/>
      <c r="F315" t="s">
        <v>0</v>
      </c>
      <c r="G315" t="s">
        <v>0</v>
      </c>
    </row>
    <row r="316" spans="1:7" x14ac:dyDescent="0.25">
      <c r="A316" t="s">
        <v>0</v>
      </c>
      <c r="B316" s="1" t="s">
        <v>607</v>
      </c>
      <c r="C316" s="5" t="s">
        <v>0</v>
      </c>
      <c r="D316" s="1" t="s">
        <v>0</v>
      </c>
      <c r="E316" s="1" t="s">
        <v>608</v>
      </c>
      <c r="F316" t="s">
        <v>609</v>
      </c>
      <c r="G316">
        <f>IFERROR(VLOOKUP(C316, 'ReferenceData'!$W$1:$X$2, 2, 0), "")</f>
      </c>
    </row>
    <row r="317" spans="1:7" x14ac:dyDescent="0.25">
      <c r="A317" t="s">
        <v>0</v>
      </c>
      <c r="B317" s="1" t="s">
        <v>610</v>
      </c>
      <c r="C317" s="5" t="s">
        <v>0</v>
      </c>
      <c r="D317" s="1" t="s">
        <v>0</v>
      </c>
      <c r="E317" s="1" t="s">
        <v>26</v>
      </c>
      <c r="F317" t="s">
        <v>611</v>
      </c>
      <c r="G317">
        <f>IFERROR(VLOOKUP(C317, 'ReferenceData'!$Y$1:$Z$2, 2, 0), "")</f>
      </c>
    </row>
    <row r="318" spans="1:7" x14ac:dyDescent="0.25">
      <c r="A318" t="s">
        <v>0</v>
      </c>
      <c r="B318" s="6" t="s">
        <v>612</v>
      </c>
      <c r="C318" s="1" t="s">
        <v>0</v>
      </c>
      <c r="D318" s="1" t="s">
        <v>0</v>
      </c>
      <c r="E318" s="1" t="s">
        <v>0</v>
      </c>
      <c r="F318" t="s">
        <v>0</v>
      </c>
      <c r="G318" t="s">
        <v>0</v>
      </c>
    </row>
    <row r="319" spans="1:6" x14ac:dyDescent="0.25">
      <c r="A319" t="s">
        <v>0</v>
      </c>
      <c r="B319" s="1" t="s">
        <v>613</v>
      </c>
      <c r="C319" s="5" t="s">
        <v>0</v>
      </c>
      <c r="D319" s="1" t="s">
        <v>0</v>
      </c>
      <c r="E319" s="1" t="s">
        <v>614</v>
      </c>
      <c r="F319" t="s">
        <v>615</v>
      </c>
    </row>
    <row r="320" spans="1:1" x14ac:dyDescent="0.25">
      <c r="A320" t="s">
        <v>0</v>
      </c>
    </row>
    <row r="321" spans="1:6" s="7" customFormat="1" x14ac:dyDescent="0.25">
      <c r="A321" s="7" t="s">
        <v>0</v>
      </c>
      <c r="B321" s="8" t="s">
        <v>616</v>
      </c>
      <c r="C321" s="8" t="s">
        <v>0</v>
      </c>
      <c r="D321" s="8" t="s">
        <v>0</v>
      </c>
      <c r="E321" s="8" t="s">
        <v>0</v>
      </c>
      <c r="F321" s="7">
        <f>TEXTJOIN("; ", TRUE, G322:G327)</f>
      </c>
    </row>
    <row r="322" spans="1:7" x14ac:dyDescent="0.25">
      <c r="A322" t="s">
        <v>0</v>
      </c>
      <c r="B322" s="1" t="s">
        <v>617</v>
      </c>
      <c r="C322" s="9" t="s">
        <v>0</v>
      </c>
      <c r="D322" s="1" t="s">
        <v>0</v>
      </c>
      <c r="E322" s="1" t="s">
        <v>0</v>
      </c>
      <c r="F322" t="s">
        <v>618</v>
      </c>
      <c r="G322">
        <f>IF(C322="Selected", F322, "")</f>
      </c>
    </row>
    <row r="323" spans="1:7" x14ac:dyDescent="0.25">
      <c r="A323" t="s">
        <v>0</v>
      </c>
      <c r="B323" s="1" t="s">
        <v>619</v>
      </c>
      <c r="C323" s="9" t="s">
        <v>0</v>
      </c>
      <c r="D323" s="1" t="s">
        <v>0</v>
      </c>
      <c r="E323" s="1" t="s">
        <v>0</v>
      </c>
      <c r="F323" t="s">
        <v>620</v>
      </c>
      <c r="G323">
        <f>IF(C323="Selected", F323, "")</f>
      </c>
    </row>
    <row r="324" spans="1:7" x14ac:dyDescent="0.25">
      <c r="A324" t="s">
        <v>0</v>
      </c>
      <c r="B324" s="1" t="s">
        <v>621</v>
      </c>
      <c r="C324" s="9" t="s">
        <v>0</v>
      </c>
      <c r="D324" s="1" t="s">
        <v>0</v>
      </c>
      <c r="E324" s="1" t="s">
        <v>0</v>
      </c>
      <c r="F324" t="s">
        <v>622</v>
      </c>
      <c r="G324">
        <f>IF(C324="Selected", F324, "")</f>
      </c>
    </row>
    <row r="325" spans="1:7" x14ac:dyDescent="0.25">
      <c r="A325" t="s">
        <v>0</v>
      </c>
      <c r="B325" s="1" t="s">
        <v>623</v>
      </c>
      <c r="C325" s="9" t="s">
        <v>0</v>
      </c>
      <c r="D325" s="1" t="s">
        <v>0</v>
      </c>
      <c r="E325" s="1" t="s">
        <v>0</v>
      </c>
      <c r="F325" t="s">
        <v>624</v>
      </c>
      <c r="G325">
        <f>IF(C325="Selected", F325, "")</f>
      </c>
    </row>
    <row r="326" spans="1:7" x14ac:dyDescent="0.25">
      <c r="A326" t="s">
        <v>0</v>
      </c>
      <c r="B326" s="1" t="s">
        <v>625</v>
      </c>
      <c r="C326" s="9" t="s">
        <v>0</v>
      </c>
      <c r="D326" s="1" t="s">
        <v>0</v>
      </c>
      <c r="E326" s="1" t="s">
        <v>0</v>
      </c>
      <c r="F326" t="s">
        <v>626</v>
      </c>
      <c r="G326">
        <f>IF(C326="Selected", F326, "")</f>
      </c>
    </row>
    <row r="327" spans="1:7" x14ac:dyDescent="0.25">
      <c r="A327" t="s">
        <v>0</v>
      </c>
      <c r="B327" s="1" t="s">
        <v>627</v>
      </c>
      <c r="C327" s="9" t="s">
        <v>0</v>
      </c>
      <c r="D327" s="1" t="s">
        <v>0</v>
      </c>
      <c r="E327" s="1" t="s">
        <v>0</v>
      </c>
      <c r="F327" t="s">
        <v>628</v>
      </c>
      <c r="G327">
        <f>IF(C327="Selected", F327, "")</f>
      </c>
    </row>
    <row r="328" spans="1:1" x14ac:dyDescent="0.25">
      <c r="A328" t="s">
        <v>0</v>
      </c>
    </row>
    <row r="329" ht="48" customHeight="1" spans="1:7" x14ac:dyDescent="0.25">
      <c r="A329" s="3" t="s">
        <v>629</v>
      </c>
      <c r="B329" s="3"/>
      <c r="C329" s="3"/>
      <c r="D329" s="3"/>
      <c r="E329" s="3"/>
      <c r="F329" t="s">
        <v>0</v>
      </c>
      <c r="G329" t="s">
        <v>0</v>
      </c>
    </row>
    <row r="330" ht="32" customHeight="1" spans="1:7" x14ac:dyDescent="0.25">
      <c r="A330" s="4" t="s">
        <v>630</v>
      </c>
      <c r="B330" s="4"/>
      <c r="C330" s="4"/>
      <c r="D330" s="4"/>
      <c r="E330" s="4"/>
      <c r="F330" t="s">
        <v>0</v>
      </c>
      <c r="G330" t="s">
        <v>0</v>
      </c>
    </row>
    <row r="331" spans="1:7" x14ac:dyDescent="0.25">
      <c r="A331" t="s">
        <v>0</v>
      </c>
      <c r="B331" s="1" t="s">
        <v>631</v>
      </c>
      <c r="C331" s="5" t="s">
        <v>0</v>
      </c>
      <c r="D331" s="1" t="s">
        <v>0</v>
      </c>
      <c r="E331" s="1" t="s">
        <v>632</v>
      </c>
      <c r="F331" t="s">
        <v>633</v>
      </c>
      <c r="G331">
        <f>IFERROR(VLOOKUP(C331, 'ReferenceData'!$AA$1:$AB$3, 2, 0), "")</f>
      </c>
    </row>
    <row r="332" spans="1:7" x14ac:dyDescent="0.25">
      <c r="A332" t="s">
        <v>0</v>
      </c>
      <c r="B332" s="6" t="s">
        <v>634</v>
      </c>
      <c r="C332" s="1" t="s">
        <v>0</v>
      </c>
      <c r="D332" s="1" t="s">
        <v>0</v>
      </c>
      <c r="E332" s="1" t="s">
        <v>0</v>
      </c>
      <c r="F332" t="s">
        <v>0</v>
      </c>
      <c r="G332" t="s">
        <v>0</v>
      </c>
    </row>
    <row r="333" spans="1:6" x14ac:dyDescent="0.25">
      <c r="A333" t="s">
        <v>0</v>
      </c>
      <c r="B333" s="1" t="s">
        <v>635</v>
      </c>
      <c r="C333" s="5" t="s">
        <v>0</v>
      </c>
      <c r="D333" s="1" t="s">
        <v>0</v>
      </c>
      <c r="E333" s="1" t="s">
        <v>636</v>
      </c>
      <c r="F333" t="s">
        <v>637</v>
      </c>
    </row>
    <row r="334" spans="1:7" x14ac:dyDescent="0.25">
      <c r="A334" t="s">
        <v>0</v>
      </c>
      <c r="B334" s="6" t="s">
        <v>634</v>
      </c>
      <c r="C334" s="1" t="s">
        <v>0</v>
      </c>
      <c r="D334" s="1" t="s">
        <v>0</v>
      </c>
      <c r="E334" s="1" t="s">
        <v>0</v>
      </c>
      <c r="F334" t="s">
        <v>0</v>
      </c>
      <c r="G334" t="s">
        <v>0</v>
      </c>
    </row>
    <row r="335" spans="1:7" x14ac:dyDescent="0.25">
      <c r="A335" t="s">
        <v>0</v>
      </c>
      <c r="B335" s="1" t="s">
        <v>638</v>
      </c>
      <c r="C335" s="5" t="s">
        <v>0</v>
      </c>
      <c r="D335" s="1" t="s">
        <v>0</v>
      </c>
      <c r="E335" s="1" t="s">
        <v>26</v>
      </c>
      <c r="F335" t="s">
        <v>639</v>
      </c>
      <c r="G335">
        <f>IFERROR(VLOOKUP(C335, 'ReferenceData'!$AC$1:$AD$5, 2, 0), "")</f>
      </c>
    </row>
    <row r="336" spans="1:7" x14ac:dyDescent="0.25">
      <c r="A336" t="s">
        <v>0</v>
      </c>
      <c r="B336" s="6" t="s">
        <v>634</v>
      </c>
      <c r="C336" s="1" t="s">
        <v>0</v>
      </c>
      <c r="D336" s="1" t="s">
        <v>0</v>
      </c>
      <c r="E336" s="1" t="s">
        <v>0</v>
      </c>
      <c r="F336" t="s">
        <v>0</v>
      </c>
      <c r="G336" t="s">
        <v>0</v>
      </c>
    </row>
    <row r="337" spans="1:6" x14ac:dyDescent="0.25">
      <c r="A337" t="s">
        <v>0</v>
      </c>
      <c r="B337" s="1" t="s">
        <v>640</v>
      </c>
      <c r="C337" s="5" t="s">
        <v>0</v>
      </c>
      <c r="D337" s="1" t="s">
        <v>0</v>
      </c>
      <c r="E337" s="1" t="s">
        <v>641</v>
      </c>
      <c r="F337" t="s">
        <v>642</v>
      </c>
    </row>
    <row r="338" ht="32" customHeight="1" spans="1:7" x14ac:dyDescent="0.25">
      <c r="A338" s="4" t="s">
        <v>643</v>
      </c>
      <c r="B338" s="4"/>
      <c r="C338" s="4"/>
      <c r="D338" s="4"/>
      <c r="E338" s="4"/>
      <c r="F338" t="s">
        <v>0</v>
      </c>
      <c r="G338" t="s">
        <v>0</v>
      </c>
    </row>
    <row r="339" spans="1:7" x14ac:dyDescent="0.25">
      <c r="A339" t="s">
        <v>0</v>
      </c>
      <c r="B339" s="1" t="s">
        <v>644</v>
      </c>
      <c r="C339" s="5" t="s">
        <v>0</v>
      </c>
      <c r="D339" s="1" t="s">
        <v>0</v>
      </c>
      <c r="E339" s="1" t="s">
        <v>645</v>
      </c>
      <c r="F339" t="s">
        <v>646</v>
      </c>
      <c r="G339">
        <f>IFERROR(VLOOKUP(C339, 'ReferenceData'!$AE$1:$AF$5, 2, 0), "")</f>
      </c>
    </row>
    <row r="340" spans="1:7" x14ac:dyDescent="0.25">
      <c r="A340" t="s">
        <v>0</v>
      </c>
      <c r="B340" s="6" t="s">
        <v>647</v>
      </c>
      <c r="C340" s="1" t="s">
        <v>0</v>
      </c>
      <c r="D340" s="1" t="s">
        <v>0</v>
      </c>
      <c r="E340" s="1" t="s">
        <v>0</v>
      </c>
      <c r="F340" t="s">
        <v>0</v>
      </c>
      <c r="G340" t="s">
        <v>0</v>
      </c>
    </row>
    <row r="341" spans="1:6" x14ac:dyDescent="0.25">
      <c r="A341" t="s">
        <v>0</v>
      </c>
      <c r="B341" s="1" t="s">
        <v>648</v>
      </c>
      <c r="C341" s="5" t="s">
        <v>0</v>
      </c>
      <c r="D341" s="1" t="s">
        <v>0</v>
      </c>
      <c r="E341" s="1" t="s">
        <v>649</v>
      </c>
      <c r="F341" t="s">
        <v>650</v>
      </c>
    </row>
    <row r="342" ht="48" customHeight="1" spans="1:7" x14ac:dyDescent="0.25">
      <c r="A342" s="3" t="s">
        <v>651</v>
      </c>
      <c r="B342" s="3"/>
      <c r="C342" s="3"/>
      <c r="D342" s="3"/>
      <c r="E342" s="3"/>
      <c r="F342" t="s">
        <v>0</v>
      </c>
      <c r="G342" t="s">
        <v>0</v>
      </c>
    </row>
    <row r="343" ht="32" customHeight="1" spans="1:7" x14ac:dyDescent="0.25">
      <c r="A343" s="4" t="s">
        <v>652</v>
      </c>
      <c r="B343" s="4"/>
      <c r="C343" s="4"/>
      <c r="D343" s="4"/>
      <c r="E343" s="4"/>
      <c r="F343" t="s">
        <v>0</v>
      </c>
      <c r="G343" t="s">
        <v>0</v>
      </c>
    </row>
    <row r="344" spans="1:7" x14ac:dyDescent="0.25">
      <c r="A344" t="s">
        <v>0</v>
      </c>
      <c r="B344" s="1" t="s">
        <v>653</v>
      </c>
      <c r="C344" s="5" t="s">
        <v>0</v>
      </c>
      <c r="D344" s="1" t="s">
        <v>0</v>
      </c>
      <c r="E344" s="1" t="s">
        <v>654</v>
      </c>
      <c r="F344" t="s">
        <v>655</v>
      </c>
      <c r="G344">
        <f>IFERROR(VLOOKUP(C344, 'ReferenceData'!$AG$1:$AH$3, 2, 0), "")</f>
      </c>
    </row>
    <row r="345" spans="1:7" x14ac:dyDescent="0.25">
      <c r="A345" t="s">
        <v>0</v>
      </c>
      <c r="B345" s="1" t="s">
        <v>656</v>
      </c>
      <c r="C345" s="5" t="s">
        <v>0</v>
      </c>
      <c r="D345" s="1" t="s">
        <v>0</v>
      </c>
      <c r="E345" s="1" t="s">
        <v>657</v>
      </c>
      <c r="F345" t="s">
        <v>658</v>
      </c>
      <c r="G345">
        <f>IFERROR(VLOOKUP(C345, 'ReferenceData'!$AI$1:$AJ$3, 2, 0), "")</f>
      </c>
    </row>
    <row r="346" spans="1:7" x14ac:dyDescent="0.25">
      <c r="A346" t="s">
        <v>0</v>
      </c>
      <c r="B346" s="6" t="s">
        <v>659</v>
      </c>
      <c r="C346" s="1" t="s">
        <v>0</v>
      </c>
      <c r="D346" s="1" t="s">
        <v>0</v>
      </c>
      <c r="E346" s="1" t="s">
        <v>0</v>
      </c>
      <c r="F346" t="s">
        <v>0</v>
      </c>
      <c r="G346" t="s">
        <v>0</v>
      </c>
    </row>
    <row r="347" spans="1:1" x14ac:dyDescent="0.25">
      <c r="A347" t="s">
        <v>0</v>
      </c>
    </row>
    <row r="348" spans="1:6" s="7" customFormat="1" x14ac:dyDescent="0.25">
      <c r="A348" s="7" t="s">
        <v>0</v>
      </c>
      <c r="B348" s="8" t="s">
        <v>660</v>
      </c>
      <c r="C348" s="8" t="s">
        <v>0</v>
      </c>
      <c r="D348" s="8" t="s">
        <v>0</v>
      </c>
      <c r="E348" s="8" t="s">
        <v>0</v>
      </c>
      <c r="F348" s="7">
        <f>TEXTJOIN("; ", TRUE, G349:G355)</f>
      </c>
    </row>
    <row r="349" spans="1:7" x14ac:dyDescent="0.25">
      <c r="A349" t="s">
        <v>0</v>
      </c>
      <c r="B349" s="1" t="s">
        <v>661</v>
      </c>
      <c r="C349" s="9" t="s">
        <v>0</v>
      </c>
      <c r="D349" s="1" t="s">
        <v>0</v>
      </c>
      <c r="E349" s="1" t="s">
        <v>0</v>
      </c>
      <c r="F349" t="s">
        <v>662</v>
      </c>
      <c r="G349">
        <f>IF(C349="Selected", F349, "")</f>
      </c>
    </row>
    <row r="350" spans="1:7" x14ac:dyDescent="0.25">
      <c r="A350" t="s">
        <v>0</v>
      </c>
      <c r="B350" s="1" t="s">
        <v>663</v>
      </c>
      <c r="C350" s="9" t="s">
        <v>0</v>
      </c>
      <c r="D350" s="1" t="s">
        <v>0</v>
      </c>
      <c r="E350" s="1" t="s">
        <v>0</v>
      </c>
      <c r="F350" t="s">
        <v>664</v>
      </c>
      <c r="G350">
        <f>IF(C350="Selected", F350, "")</f>
      </c>
    </row>
    <row r="351" spans="1:7" x14ac:dyDescent="0.25">
      <c r="A351" t="s">
        <v>0</v>
      </c>
      <c r="B351" s="1" t="s">
        <v>665</v>
      </c>
      <c r="C351" s="9" t="s">
        <v>0</v>
      </c>
      <c r="D351" s="1" t="s">
        <v>0</v>
      </c>
      <c r="E351" s="1" t="s">
        <v>0</v>
      </c>
      <c r="F351" t="s">
        <v>666</v>
      </c>
      <c r="G351">
        <f>IF(C351="Selected", F351, "")</f>
      </c>
    </row>
    <row r="352" spans="1:7" x14ac:dyDescent="0.25">
      <c r="A352" t="s">
        <v>0</v>
      </c>
      <c r="B352" s="1" t="s">
        <v>667</v>
      </c>
      <c r="C352" s="9" t="s">
        <v>0</v>
      </c>
      <c r="D352" s="1" t="s">
        <v>0</v>
      </c>
      <c r="E352" s="1" t="s">
        <v>0</v>
      </c>
      <c r="F352" t="s">
        <v>668</v>
      </c>
      <c r="G352">
        <f>IF(C352="Selected", F352, "")</f>
      </c>
    </row>
    <row r="353" spans="1:7" x14ac:dyDescent="0.25">
      <c r="A353" t="s">
        <v>0</v>
      </c>
      <c r="B353" s="1" t="s">
        <v>669</v>
      </c>
      <c r="C353" s="9" t="s">
        <v>0</v>
      </c>
      <c r="D353" s="1" t="s">
        <v>0</v>
      </c>
      <c r="E353" s="1" t="s">
        <v>0</v>
      </c>
      <c r="F353" t="s">
        <v>670</v>
      </c>
      <c r="G353">
        <f>IF(C353="Selected", F353, "")</f>
      </c>
    </row>
    <row r="354" spans="1:7" x14ac:dyDescent="0.25">
      <c r="A354" t="s">
        <v>0</v>
      </c>
      <c r="B354" s="1" t="s">
        <v>671</v>
      </c>
      <c r="C354" s="9" t="s">
        <v>0</v>
      </c>
      <c r="D354" s="1" t="s">
        <v>0</v>
      </c>
      <c r="E354" s="1" t="s">
        <v>0</v>
      </c>
      <c r="F354" t="s">
        <v>672</v>
      </c>
      <c r="G354">
        <f>IF(C354="Selected", F354, "")</f>
      </c>
    </row>
    <row r="355" spans="1:7" x14ac:dyDescent="0.25">
      <c r="A355" t="s">
        <v>0</v>
      </c>
      <c r="B355" s="1" t="s">
        <v>61</v>
      </c>
      <c r="C355" s="9" t="s">
        <v>0</v>
      </c>
      <c r="D355" s="1" t="s">
        <v>0</v>
      </c>
      <c r="E355" s="1" t="s">
        <v>0</v>
      </c>
      <c r="F355" t="s">
        <v>62</v>
      </c>
      <c r="G355">
        <f>IF(C355="Selected", F355, "")</f>
      </c>
    </row>
    <row r="356" spans="1:1" x14ac:dyDescent="0.25">
      <c r="A356" t="s">
        <v>0</v>
      </c>
    </row>
    <row r="357" spans="1:7" x14ac:dyDescent="0.25">
      <c r="A357" t="s">
        <v>0</v>
      </c>
      <c r="B357" s="6" t="s">
        <v>659</v>
      </c>
      <c r="C357" s="1" t="s">
        <v>0</v>
      </c>
      <c r="D357" s="1" t="s">
        <v>0</v>
      </c>
      <c r="E357" s="1" t="s">
        <v>0</v>
      </c>
      <c r="F357" t="s">
        <v>0</v>
      </c>
      <c r="G357" t="s">
        <v>0</v>
      </c>
    </row>
    <row r="358" spans="1:1" x14ac:dyDescent="0.25">
      <c r="A358" t="s">
        <v>0</v>
      </c>
    </row>
    <row r="359" spans="1:6" s="10" customFormat="1" x14ac:dyDescent="0.25">
      <c r="A359" s="10" t="s">
        <v>0</v>
      </c>
      <c r="B359" s="11" t="s">
        <v>673</v>
      </c>
      <c r="C359" s="11" t="s">
        <v>0</v>
      </c>
      <c r="D359" s="11" t="s">
        <v>0</v>
      </c>
      <c r="E359" s="11" t="s">
        <v>674</v>
      </c>
      <c r="F359" s="10" t="s">
        <v>675</v>
      </c>
    </row>
    <row r="360" spans="1:8" x14ac:dyDescent="0.25">
      <c r="A360" t="s">
        <v>0</v>
      </c>
      <c r="B360" s="1" t="s">
        <v>676</v>
      </c>
      <c r="C360" s="5" t="s">
        <v>0</v>
      </c>
      <c r="D360" s="1" t="s">
        <v>0</v>
      </c>
      <c r="E360" s="1" t="s">
        <v>0</v>
      </c>
      <c r="F360" t="s">
        <v>675</v>
      </c>
      <c r="H360">
        <f>IF(ISBLANK(C360), "", C360)</f>
      </c>
    </row>
    <row r="361" spans="1:9" x14ac:dyDescent="0.25">
      <c r="A361" t="s">
        <v>0</v>
      </c>
      <c r="B361" s="12">
        <f>"Describe the testing and feedback for " &amp; IF(ISBLANK(C360), "Entry 1", C360) &amp; ":"</f>
      </c>
      <c r="C361" s="5" t="s">
        <v>0</v>
      </c>
      <c r="D361" s="1" t="s">
        <v>0</v>
      </c>
      <c r="E361" s="1" t="s">
        <v>677</v>
      </c>
      <c r="F361" t="s">
        <v>675</v>
      </c>
      <c r="I361">
        <f>IF(ISBLANK(C361), "", C361)</f>
      </c>
    </row>
    <row r="362" spans="1:8" x14ac:dyDescent="0.25">
      <c r="A362" t="s">
        <v>0</v>
      </c>
      <c r="B362" s="1" t="s">
        <v>678</v>
      </c>
      <c r="C362" s="5" t="s">
        <v>0</v>
      </c>
      <c r="D362" s="1" t="s">
        <v>0</v>
      </c>
      <c r="E362" s="1" t="s">
        <v>0</v>
      </c>
      <c r="F362" t="s">
        <v>675</v>
      </c>
      <c r="H362">
        <f>IF(ISBLANK(C362), "", C362)</f>
      </c>
    </row>
    <row r="363" spans="1:9" x14ac:dyDescent="0.25">
      <c r="A363" t="s">
        <v>0</v>
      </c>
      <c r="B363" s="12">
        <f>"Describe the testing and feedback for " &amp; IF(ISBLANK(C362), "Entry 2", C362) &amp; ":"</f>
      </c>
      <c r="C363" s="5" t="s">
        <v>0</v>
      </c>
      <c r="D363" s="1" t="s">
        <v>0</v>
      </c>
      <c r="E363" s="1" t="s">
        <v>677</v>
      </c>
      <c r="F363" t="s">
        <v>675</v>
      </c>
      <c r="I363">
        <f>IF(ISBLANK(C363), "", C363)</f>
      </c>
    </row>
    <row r="364" spans="1:8" x14ac:dyDescent="0.25">
      <c r="A364" t="s">
        <v>0</v>
      </c>
      <c r="B364" s="1" t="s">
        <v>679</v>
      </c>
      <c r="C364" s="5" t="s">
        <v>0</v>
      </c>
      <c r="D364" s="1" t="s">
        <v>0</v>
      </c>
      <c r="E364" s="1" t="s">
        <v>0</v>
      </c>
      <c r="F364" t="s">
        <v>675</v>
      </c>
      <c r="H364">
        <f>IF(ISBLANK(C364), "", C364)</f>
      </c>
    </row>
    <row r="365" spans="1:9" x14ac:dyDescent="0.25">
      <c r="A365" t="s">
        <v>0</v>
      </c>
      <c r="B365" s="12">
        <f>"Describe the testing and feedback for " &amp; IF(ISBLANK(C364), "Entry 3", C364) &amp; ":"</f>
      </c>
      <c r="C365" s="5" t="s">
        <v>0</v>
      </c>
      <c r="D365" s="1" t="s">
        <v>0</v>
      </c>
      <c r="E365" s="1" t="s">
        <v>677</v>
      </c>
      <c r="F365" t="s">
        <v>675</v>
      </c>
      <c r="I365">
        <f>IF(ISBLANK(C365), "", C365)</f>
      </c>
    </row>
    <row r="366" spans="1:8" x14ac:dyDescent="0.25">
      <c r="A366" t="s">
        <v>0</v>
      </c>
      <c r="B366" s="1" t="s">
        <v>680</v>
      </c>
      <c r="C366" s="5" t="s">
        <v>0</v>
      </c>
      <c r="D366" s="1" t="s">
        <v>0</v>
      </c>
      <c r="E366" s="1" t="s">
        <v>0</v>
      </c>
      <c r="F366" t="s">
        <v>675</v>
      </c>
      <c r="H366">
        <f>IF(ISBLANK(C366), "", C366)</f>
      </c>
    </row>
    <row r="367" spans="1:9" x14ac:dyDescent="0.25">
      <c r="A367" t="s">
        <v>0</v>
      </c>
      <c r="B367" s="12">
        <f>"Describe the testing and feedback for " &amp; IF(ISBLANK(C366), "Entry 4", C366) &amp; ":"</f>
      </c>
      <c r="C367" s="5" t="s">
        <v>0</v>
      </c>
      <c r="D367" s="1" t="s">
        <v>0</v>
      </c>
      <c r="E367" s="1" t="s">
        <v>677</v>
      </c>
      <c r="F367" t="s">
        <v>675</v>
      </c>
      <c r="I367">
        <f>IF(ISBLANK(C367), "", C367)</f>
      </c>
    </row>
    <row r="368" spans="1:8" x14ac:dyDescent="0.25">
      <c r="A368" t="s">
        <v>0</v>
      </c>
      <c r="B368" s="1" t="s">
        <v>681</v>
      </c>
      <c r="C368" s="5" t="s">
        <v>0</v>
      </c>
      <c r="D368" s="1" t="s">
        <v>0</v>
      </c>
      <c r="E368" s="1" t="s">
        <v>0</v>
      </c>
      <c r="F368" t="s">
        <v>675</v>
      </c>
      <c r="H368">
        <f>IF(ISBLANK(C368), "", C368)</f>
      </c>
    </row>
    <row r="369" spans="1:9" x14ac:dyDescent="0.25">
      <c r="A369" t="s">
        <v>0</v>
      </c>
      <c r="B369" s="12">
        <f>"Describe the testing and feedback for " &amp; IF(ISBLANK(C368), "Entry 5", C368) &amp; ":"</f>
      </c>
      <c r="C369" s="5" t="s">
        <v>0</v>
      </c>
      <c r="D369" s="1" t="s">
        <v>0</v>
      </c>
      <c r="E369" s="1" t="s">
        <v>677</v>
      </c>
      <c r="F369" t="s">
        <v>675</v>
      </c>
      <c r="I369">
        <f>IF(ISBLANK(C369), "", C369)</f>
      </c>
    </row>
    <row r="370" spans="1:1" x14ac:dyDescent="0.25">
      <c r="A370" t="s">
        <v>0</v>
      </c>
    </row>
    <row r="371" ht="48" customHeight="1" spans="1:7" x14ac:dyDescent="0.25">
      <c r="A371" s="3" t="s">
        <v>682</v>
      </c>
      <c r="B371" s="3"/>
      <c r="C371" s="3"/>
      <c r="D371" s="3"/>
      <c r="E371" s="3"/>
      <c r="F371" t="s">
        <v>0</v>
      </c>
      <c r="G371" t="s">
        <v>0</v>
      </c>
    </row>
    <row r="372" ht="32" customHeight="1" spans="1:7" x14ac:dyDescent="0.25">
      <c r="A372" s="4" t="s">
        <v>683</v>
      </c>
      <c r="B372" s="4"/>
      <c r="C372" s="4"/>
      <c r="D372" s="4"/>
      <c r="E372" s="4"/>
      <c r="F372" t="s">
        <v>0</v>
      </c>
      <c r="G372" t="s">
        <v>0</v>
      </c>
    </row>
    <row r="373" spans="1:7" x14ac:dyDescent="0.25">
      <c r="A373" t="s">
        <v>0</v>
      </c>
      <c r="B373" s="1" t="s">
        <v>684</v>
      </c>
      <c r="C373" s="5" t="s">
        <v>0</v>
      </c>
      <c r="D373" s="1" t="s">
        <v>0</v>
      </c>
      <c r="E373" s="1" t="s">
        <v>685</v>
      </c>
      <c r="F373" t="s">
        <v>686</v>
      </c>
      <c r="G373">
        <f>IFERROR(VLOOKUP(C373, 'ReferenceData'!$AK$1:$AL$4, 2, 0), "")</f>
      </c>
    </row>
    <row r="374" spans="1:7" x14ac:dyDescent="0.25">
      <c r="A374" t="s">
        <v>0</v>
      </c>
      <c r="B374" s="6" t="s">
        <v>687</v>
      </c>
      <c r="C374" s="1" t="s">
        <v>0</v>
      </c>
      <c r="D374" s="1" t="s">
        <v>0</v>
      </c>
      <c r="E374" s="1" t="s">
        <v>0</v>
      </c>
      <c r="F374" t="s">
        <v>0</v>
      </c>
      <c r="G374" t="s">
        <v>0</v>
      </c>
    </row>
    <row r="375" spans="1:1" x14ac:dyDescent="0.25">
      <c r="A375" t="s">
        <v>0</v>
      </c>
    </row>
    <row r="376" spans="1:6" s="7" customFormat="1" x14ac:dyDescent="0.25">
      <c r="A376" s="7" t="s">
        <v>0</v>
      </c>
      <c r="B376" s="8" t="s">
        <v>688</v>
      </c>
      <c r="C376" s="8" t="s">
        <v>0</v>
      </c>
      <c r="D376" s="8" t="s">
        <v>0</v>
      </c>
      <c r="E376" s="8" t="s">
        <v>689</v>
      </c>
      <c r="F376" s="7">
        <f>TEXTJOIN("; ", TRUE, G377:G389)</f>
      </c>
    </row>
    <row r="377" spans="1:8" x14ac:dyDescent="0.25">
      <c r="A377" t="s">
        <v>0</v>
      </c>
      <c r="B377" s="1" t="s">
        <v>690</v>
      </c>
      <c r="C377" s="9" t="s">
        <v>0</v>
      </c>
      <c r="D377" s="5" t="s">
        <v>691</v>
      </c>
      <c r="E377" s="1" t="s">
        <v>0</v>
      </c>
      <c r="F377" t="s">
        <v>692</v>
      </c>
      <c r="G377">
        <f>IF(C377="Selected", F377, "")</f>
      </c>
      <c r="H377">
        <f>IFERROR(VLOOKUP(D377, 'ReferenceData'!$AM$1:$AN$3, 2, 0), "")</f>
      </c>
    </row>
    <row r="378" spans="1:8" x14ac:dyDescent="0.25">
      <c r="A378" t="s">
        <v>0</v>
      </c>
      <c r="B378" s="1" t="s">
        <v>693</v>
      </c>
      <c r="C378" s="9" t="s">
        <v>0</v>
      </c>
      <c r="D378" s="5" t="s">
        <v>694</v>
      </c>
      <c r="E378" s="1" t="s">
        <v>0</v>
      </c>
      <c r="F378" t="s">
        <v>695</v>
      </c>
      <c r="G378">
        <f>IF(C378="Selected", F378, "")</f>
      </c>
      <c r="H378">
        <f>IFERROR(VLOOKUP(D378, 'ReferenceData'!$AO$1:$AP$3, 2, 0), "")</f>
      </c>
    </row>
    <row r="379" spans="1:8" x14ac:dyDescent="0.25">
      <c r="A379" t="s">
        <v>0</v>
      </c>
      <c r="B379" s="1" t="s">
        <v>696</v>
      </c>
      <c r="C379" s="9" t="s">
        <v>0</v>
      </c>
      <c r="D379" s="5" t="s">
        <v>697</v>
      </c>
      <c r="E379" s="1" t="s">
        <v>0</v>
      </c>
      <c r="F379" t="s">
        <v>698</v>
      </c>
      <c r="G379">
        <f>IF(C379="Selected", F379, "")</f>
      </c>
      <c r="H379">
        <f>IFERROR(VLOOKUP(D379, 'ReferenceData'!$AQ$1:$AR$3, 2, 0), "")</f>
      </c>
    </row>
    <row r="380" spans="1:8" x14ac:dyDescent="0.25">
      <c r="A380" t="s">
        <v>0</v>
      </c>
      <c r="B380" s="1" t="s">
        <v>699</v>
      </c>
      <c r="C380" s="9" t="s">
        <v>0</v>
      </c>
      <c r="D380" s="5" t="s">
        <v>700</v>
      </c>
      <c r="E380" s="1" t="s">
        <v>0</v>
      </c>
      <c r="F380" t="s">
        <v>701</v>
      </c>
      <c r="G380">
        <f>IF(C380="Selected", F380, "")</f>
      </c>
      <c r="H380">
        <f>IFERROR(VLOOKUP(D380, 'ReferenceData'!$AS$1:$AT$3, 2, 0), "")</f>
      </c>
    </row>
    <row r="381" spans="1:8" x14ac:dyDescent="0.25">
      <c r="A381" t="s">
        <v>0</v>
      </c>
      <c r="B381" s="1" t="s">
        <v>702</v>
      </c>
      <c r="C381" s="9" t="s">
        <v>0</v>
      </c>
      <c r="D381" s="5" t="s">
        <v>703</v>
      </c>
      <c r="E381" s="1" t="s">
        <v>0</v>
      </c>
      <c r="F381" t="s">
        <v>704</v>
      </c>
      <c r="G381">
        <f>IF(C381="Selected", F381, "")</f>
      </c>
      <c r="H381">
        <f>IFERROR(VLOOKUP(D381, 'ReferenceData'!$AU$1:$AV$3, 2, 0), "")</f>
      </c>
    </row>
    <row r="382" spans="1:8" x14ac:dyDescent="0.25">
      <c r="A382" t="s">
        <v>0</v>
      </c>
      <c r="B382" s="1" t="s">
        <v>705</v>
      </c>
      <c r="C382" s="9" t="s">
        <v>0</v>
      </c>
      <c r="D382" s="5" t="s">
        <v>706</v>
      </c>
      <c r="E382" s="1" t="s">
        <v>0</v>
      </c>
      <c r="F382" t="s">
        <v>707</v>
      </c>
      <c r="G382">
        <f>IF(C382="Selected", F382, "")</f>
      </c>
      <c r="H382">
        <f>IFERROR(VLOOKUP(D382, 'ReferenceData'!$AW$1:$AX$3, 2, 0), "")</f>
      </c>
    </row>
    <row r="383" spans="1:8" x14ac:dyDescent="0.25">
      <c r="A383" t="s">
        <v>0</v>
      </c>
      <c r="B383" s="1" t="s">
        <v>708</v>
      </c>
      <c r="C383" s="9" t="s">
        <v>0</v>
      </c>
      <c r="D383" s="5" t="s">
        <v>709</v>
      </c>
      <c r="E383" s="1" t="s">
        <v>0</v>
      </c>
      <c r="F383" t="s">
        <v>710</v>
      </c>
      <c r="G383">
        <f>IF(C383="Selected", F383, "")</f>
      </c>
      <c r="H383">
        <f>IFERROR(VLOOKUP(D383, 'ReferenceData'!$AY$1:$AZ$3, 2, 0), "")</f>
      </c>
    </row>
    <row r="384" spans="1:8" x14ac:dyDescent="0.25">
      <c r="A384" t="s">
        <v>0</v>
      </c>
      <c r="B384" s="1" t="s">
        <v>711</v>
      </c>
      <c r="C384" s="9" t="s">
        <v>0</v>
      </c>
      <c r="D384" s="5" t="s">
        <v>712</v>
      </c>
      <c r="E384" s="1" t="s">
        <v>0</v>
      </c>
      <c r="F384" t="s">
        <v>713</v>
      </c>
      <c r="G384">
        <f>IF(C384="Selected", F384, "")</f>
      </c>
      <c r="H384">
        <f>IFERROR(VLOOKUP(D384, 'ReferenceData'!$BA$1:$BB$3, 2, 0), "")</f>
      </c>
    </row>
    <row r="385" spans="1:8" x14ac:dyDescent="0.25">
      <c r="A385" t="s">
        <v>0</v>
      </c>
      <c r="B385" s="1" t="s">
        <v>714</v>
      </c>
      <c r="C385" s="9" t="s">
        <v>0</v>
      </c>
      <c r="D385" s="5" t="s">
        <v>715</v>
      </c>
      <c r="E385" s="1" t="s">
        <v>0</v>
      </c>
      <c r="F385" t="s">
        <v>716</v>
      </c>
      <c r="G385">
        <f>IF(C385="Selected", F385, "")</f>
      </c>
      <c r="H385">
        <f>IFERROR(VLOOKUP(D385, 'ReferenceData'!$BC$1:$BD$3, 2, 0), "")</f>
      </c>
    </row>
    <row r="386" spans="1:8" x14ac:dyDescent="0.25">
      <c r="A386" t="s">
        <v>0</v>
      </c>
      <c r="B386" s="1" t="s">
        <v>717</v>
      </c>
      <c r="C386" s="9" t="s">
        <v>0</v>
      </c>
      <c r="D386" s="5" t="s">
        <v>718</v>
      </c>
      <c r="E386" s="1" t="s">
        <v>0</v>
      </c>
      <c r="F386" t="s">
        <v>719</v>
      </c>
      <c r="G386">
        <f>IF(C386="Selected", F386, "")</f>
      </c>
      <c r="H386">
        <f>IFERROR(VLOOKUP(D386, 'ReferenceData'!$BE$1:$BF$3, 2, 0), "")</f>
      </c>
    </row>
    <row r="387" spans="1:8" x14ac:dyDescent="0.25">
      <c r="A387" t="s">
        <v>0</v>
      </c>
      <c r="B387" s="1" t="s">
        <v>720</v>
      </c>
      <c r="C387" s="9" t="s">
        <v>0</v>
      </c>
      <c r="D387" s="5" t="s">
        <v>721</v>
      </c>
      <c r="E387" s="1" t="s">
        <v>0</v>
      </c>
      <c r="F387" t="s">
        <v>722</v>
      </c>
      <c r="G387">
        <f>IF(C387="Selected", F387, "")</f>
      </c>
      <c r="H387">
        <f>IFERROR(VLOOKUP(D387, 'ReferenceData'!$BG$1:$BH$3, 2, 0), "")</f>
      </c>
    </row>
    <row r="388" spans="1:8" x14ac:dyDescent="0.25">
      <c r="A388" t="s">
        <v>0</v>
      </c>
      <c r="B388" s="1" t="s">
        <v>723</v>
      </c>
      <c r="C388" s="9" t="s">
        <v>0</v>
      </c>
      <c r="D388" s="5" t="s">
        <v>724</v>
      </c>
      <c r="E388" s="1" t="s">
        <v>0</v>
      </c>
      <c r="F388" t="s">
        <v>725</v>
      </c>
      <c r="G388">
        <f>IF(C388="Selected", F388, "")</f>
      </c>
      <c r="H388">
        <f>IFERROR(VLOOKUP(D388, 'ReferenceData'!$BI$1:$BJ$3, 2, 0), "")</f>
      </c>
    </row>
    <row r="389" spans="1:8" x14ac:dyDescent="0.25">
      <c r="A389" t="s">
        <v>0</v>
      </c>
      <c r="B389" s="1" t="s">
        <v>61</v>
      </c>
      <c r="C389" s="9" t="s">
        <v>0</v>
      </c>
      <c r="D389" s="5" t="s">
        <v>726</v>
      </c>
      <c r="E389" s="1" t="s">
        <v>0</v>
      </c>
      <c r="F389" t="s">
        <v>62</v>
      </c>
      <c r="G389">
        <f>IF(C389="Selected", F389, "")</f>
      </c>
      <c r="H389">
        <f>IFERROR(VLOOKUP(D389, 'ReferenceData'!$BK$1:$BL$3, 2, 0), "")</f>
      </c>
    </row>
    <row r="390" spans="1:1" x14ac:dyDescent="0.25">
      <c r="A390" t="s">
        <v>0</v>
      </c>
    </row>
    <row r="391" ht="32" customHeight="1" spans="1:7" x14ac:dyDescent="0.25">
      <c r="A391" s="4" t="s">
        <v>727</v>
      </c>
      <c r="B391" s="4"/>
      <c r="C391" s="4"/>
      <c r="D391" s="4"/>
      <c r="E391" s="4"/>
      <c r="F391" t="s">
        <v>0</v>
      </c>
      <c r="G391" t="s">
        <v>0</v>
      </c>
    </row>
    <row r="392" spans="1:7" x14ac:dyDescent="0.25">
      <c r="A392" t="s">
        <v>0</v>
      </c>
      <c r="B392" s="1" t="s">
        <v>728</v>
      </c>
      <c r="C392" s="5" t="s">
        <v>0</v>
      </c>
      <c r="D392" s="1" t="s">
        <v>0</v>
      </c>
      <c r="E392" s="1" t="s">
        <v>26</v>
      </c>
      <c r="F392" t="s">
        <v>729</v>
      </c>
      <c r="G392">
        <f>IFERROR(VLOOKUP(C392, 'ReferenceData'!$BM$1:$BN$3, 2, 0), "")</f>
      </c>
    </row>
    <row r="393" spans="1:6" x14ac:dyDescent="0.25">
      <c r="A393" t="s">
        <v>0</v>
      </c>
      <c r="B393" s="1" t="s">
        <v>730</v>
      </c>
      <c r="C393" s="5" t="s">
        <v>0</v>
      </c>
      <c r="D393" s="1" t="s">
        <v>0</v>
      </c>
      <c r="E393" s="1" t="s">
        <v>66</v>
      </c>
      <c r="F393" t="s">
        <v>731</v>
      </c>
    </row>
    <row r="394" spans="1:7" x14ac:dyDescent="0.25">
      <c r="A394" t="s">
        <v>0</v>
      </c>
      <c r="B394" s="1" t="s">
        <v>732</v>
      </c>
      <c r="C394" s="5" t="s">
        <v>0</v>
      </c>
      <c r="D394" s="1" t="s">
        <v>0</v>
      </c>
      <c r="E394" s="1" t="s">
        <v>733</v>
      </c>
      <c r="F394" t="s">
        <v>734</v>
      </c>
      <c r="G394">
        <f>IFERROR(VLOOKUP(C394, 'ReferenceData'!$BO$1:$BP$2, 2, 0), "")</f>
      </c>
    </row>
    <row r="395" spans="1:6" x14ac:dyDescent="0.25">
      <c r="A395" t="s">
        <v>0</v>
      </c>
      <c r="B395" s="1" t="s">
        <v>735</v>
      </c>
      <c r="C395" s="5" t="s">
        <v>0</v>
      </c>
      <c r="D395" s="1" t="s">
        <v>0</v>
      </c>
      <c r="E395" s="1" t="s">
        <v>66</v>
      </c>
      <c r="F395" t="s">
        <v>736</v>
      </c>
    </row>
    <row r="396" ht="48" customHeight="1" spans="1:7" x14ac:dyDescent="0.25">
      <c r="A396" s="3" t="s">
        <v>737</v>
      </c>
      <c r="B396" s="3"/>
      <c r="C396" s="3"/>
      <c r="D396" s="3"/>
      <c r="E396" s="3"/>
      <c r="F396" t="s">
        <v>0</v>
      </c>
      <c r="G396" t="s">
        <v>0</v>
      </c>
    </row>
    <row r="397" ht="32" customHeight="1" spans="1:7" x14ac:dyDescent="0.25">
      <c r="A397" s="4" t="s">
        <v>738</v>
      </c>
      <c r="B397" s="4"/>
      <c r="C397" s="4"/>
      <c r="D397" s="4"/>
      <c r="E397" s="4"/>
      <c r="F397" t="s">
        <v>0</v>
      </c>
      <c r="G397" t="s">
        <v>0</v>
      </c>
    </row>
    <row r="398" spans="1:7" x14ac:dyDescent="0.25">
      <c r="A398" t="s">
        <v>0</v>
      </c>
      <c r="B398" s="1" t="s">
        <v>739</v>
      </c>
      <c r="C398" s="5" t="s">
        <v>0</v>
      </c>
      <c r="D398" s="1" t="s">
        <v>0</v>
      </c>
      <c r="E398" s="1" t="s">
        <v>26</v>
      </c>
      <c r="F398" t="s">
        <v>740</v>
      </c>
      <c r="G398">
        <f>IFERROR(VLOOKUP(C398, 'ReferenceData'!$BQ$1:$BR$3, 2, 0), "")</f>
      </c>
    </row>
    <row r="399" spans="1:7" x14ac:dyDescent="0.25">
      <c r="A399" t="s">
        <v>0</v>
      </c>
      <c r="B399" s="6" t="s">
        <v>741</v>
      </c>
      <c r="C399" s="1" t="s">
        <v>0</v>
      </c>
      <c r="D399" s="1" t="s">
        <v>0</v>
      </c>
      <c r="E399" s="1" t="s">
        <v>0</v>
      </c>
      <c r="F399" t="s">
        <v>0</v>
      </c>
      <c r="G399" t="s">
        <v>0</v>
      </c>
    </row>
    <row r="400" spans="1:1" x14ac:dyDescent="0.25">
      <c r="A400" t="s">
        <v>0</v>
      </c>
    </row>
    <row r="401" spans="1:6" s="7" customFormat="1" x14ac:dyDescent="0.25">
      <c r="A401" s="7" t="s">
        <v>0</v>
      </c>
      <c r="B401" s="8" t="s">
        <v>742</v>
      </c>
      <c r="C401" s="8" t="s">
        <v>0</v>
      </c>
      <c r="D401" s="8" t="s">
        <v>0</v>
      </c>
      <c r="E401" s="8" t="s">
        <v>0</v>
      </c>
      <c r="F401" s="7">
        <f>TEXTJOIN("; ", TRUE, G402:G408)</f>
      </c>
    </row>
    <row r="402" spans="1:7" x14ac:dyDescent="0.25">
      <c r="A402" t="s">
        <v>0</v>
      </c>
      <c r="B402" s="1" t="s">
        <v>743</v>
      </c>
      <c r="C402" s="9" t="s">
        <v>0</v>
      </c>
      <c r="D402" s="1" t="s">
        <v>0</v>
      </c>
      <c r="E402" s="1" t="s">
        <v>0</v>
      </c>
      <c r="F402" t="s">
        <v>744</v>
      </c>
      <c r="G402">
        <f>IF(C402="Selected", F402, "")</f>
      </c>
    </row>
    <row r="403" spans="1:7" x14ac:dyDescent="0.25">
      <c r="A403" t="s">
        <v>0</v>
      </c>
      <c r="B403" s="1" t="s">
        <v>745</v>
      </c>
      <c r="C403" s="9" t="s">
        <v>0</v>
      </c>
      <c r="D403" s="1" t="s">
        <v>0</v>
      </c>
      <c r="E403" s="1" t="s">
        <v>0</v>
      </c>
      <c r="F403" t="s">
        <v>746</v>
      </c>
      <c r="G403">
        <f>IF(C403="Selected", F403, "")</f>
      </c>
    </row>
    <row r="404" spans="1:7" x14ac:dyDescent="0.25">
      <c r="A404" t="s">
        <v>0</v>
      </c>
      <c r="B404" s="1" t="s">
        <v>747</v>
      </c>
      <c r="C404" s="9" t="s">
        <v>0</v>
      </c>
      <c r="D404" s="1" t="s">
        <v>0</v>
      </c>
      <c r="E404" s="1" t="s">
        <v>0</v>
      </c>
      <c r="F404" t="s">
        <v>748</v>
      </c>
      <c r="G404">
        <f>IF(C404="Selected", F404, "")</f>
      </c>
    </row>
    <row r="405" spans="1:7" x14ac:dyDescent="0.25">
      <c r="A405" t="s">
        <v>0</v>
      </c>
      <c r="B405" s="1" t="s">
        <v>749</v>
      </c>
      <c r="C405" s="9" t="s">
        <v>0</v>
      </c>
      <c r="D405" s="1" t="s">
        <v>0</v>
      </c>
      <c r="E405" s="1" t="s">
        <v>0</v>
      </c>
      <c r="F405" t="s">
        <v>750</v>
      </c>
      <c r="G405">
        <f>IF(C405="Selected", F405, "")</f>
      </c>
    </row>
    <row r="406" spans="1:7" x14ac:dyDescent="0.25">
      <c r="A406" t="s">
        <v>0</v>
      </c>
      <c r="B406" s="1" t="s">
        <v>751</v>
      </c>
      <c r="C406" s="9" t="s">
        <v>0</v>
      </c>
      <c r="D406" s="1" t="s">
        <v>0</v>
      </c>
      <c r="E406" s="1" t="s">
        <v>0</v>
      </c>
      <c r="F406" t="s">
        <v>752</v>
      </c>
      <c r="G406">
        <f>IF(C406="Selected", F406, "")</f>
      </c>
    </row>
    <row r="407" spans="1:7" x14ac:dyDescent="0.25">
      <c r="A407" t="s">
        <v>0</v>
      </c>
      <c r="B407" s="1" t="s">
        <v>753</v>
      </c>
      <c r="C407" s="9" t="s">
        <v>0</v>
      </c>
      <c r="D407" s="1" t="s">
        <v>0</v>
      </c>
      <c r="E407" s="1" t="s">
        <v>0</v>
      </c>
      <c r="F407" t="s">
        <v>754</v>
      </c>
      <c r="G407">
        <f>IF(C407="Selected", F407, "")</f>
      </c>
    </row>
    <row r="408" spans="1:7" x14ac:dyDescent="0.25">
      <c r="A408" t="s">
        <v>0</v>
      </c>
      <c r="B408" s="1" t="s">
        <v>61</v>
      </c>
      <c r="C408" s="9" t="s">
        <v>0</v>
      </c>
      <c r="D408" s="1" t="s">
        <v>0</v>
      </c>
      <c r="E408" s="1" t="s">
        <v>0</v>
      </c>
      <c r="F408" t="s">
        <v>62</v>
      </c>
      <c r="G408">
        <f>IF(C408="Selected", F408, "")</f>
      </c>
    </row>
    <row r="409" spans="1:1" x14ac:dyDescent="0.25">
      <c r="A409" t="s">
        <v>0</v>
      </c>
    </row>
    <row r="410" spans="1:7" x14ac:dyDescent="0.25">
      <c r="A410" t="s">
        <v>0</v>
      </c>
      <c r="B410" s="6" t="s">
        <v>741</v>
      </c>
      <c r="C410" s="1" t="s">
        <v>0</v>
      </c>
      <c r="D410" s="1" t="s">
        <v>0</v>
      </c>
      <c r="E410" s="1" t="s">
        <v>0</v>
      </c>
      <c r="F410" t="s">
        <v>0</v>
      </c>
      <c r="G410" t="s">
        <v>0</v>
      </c>
    </row>
    <row r="411" spans="1:6" x14ac:dyDescent="0.25">
      <c r="A411" t="s">
        <v>0</v>
      </c>
      <c r="B411" s="1" t="s">
        <v>755</v>
      </c>
      <c r="C411" s="5" t="s">
        <v>0</v>
      </c>
      <c r="D411" s="1" t="s">
        <v>0</v>
      </c>
      <c r="E411" s="1" t="s">
        <v>756</v>
      </c>
      <c r="F411" t="s">
        <v>757</v>
      </c>
    </row>
    <row r="412" spans="1:7" x14ac:dyDescent="0.25">
      <c r="A412" t="s">
        <v>0</v>
      </c>
      <c r="B412" s="6" t="s">
        <v>741</v>
      </c>
      <c r="C412" s="1" t="s">
        <v>0</v>
      </c>
      <c r="D412" s="1" t="s">
        <v>0</v>
      </c>
      <c r="E412" s="1" t="s">
        <v>0</v>
      </c>
      <c r="F412" t="s">
        <v>0</v>
      </c>
      <c r="G412" t="s">
        <v>0</v>
      </c>
    </row>
    <row r="413" spans="1:6" x14ac:dyDescent="0.25">
      <c r="A413" t="s">
        <v>0</v>
      </c>
      <c r="B413" s="1" t="s">
        <v>758</v>
      </c>
      <c r="C413" s="5" t="s">
        <v>0</v>
      </c>
      <c r="D413" s="1" t="s">
        <v>0</v>
      </c>
      <c r="E413" s="1" t="s">
        <v>756</v>
      </c>
      <c r="F413" t="s">
        <v>759</v>
      </c>
    </row>
    <row r="414" spans="1:7" x14ac:dyDescent="0.25">
      <c r="A414" t="s">
        <v>0</v>
      </c>
      <c r="B414" s="6" t="s">
        <v>741</v>
      </c>
      <c r="C414" s="1" t="s">
        <v>0</v>
      </c>
      <c r="D414" s="1" t="s">
        <v>0</v>
      </c>
      <c r="E414" s="1" t="s">
        <v>0</v>
      </c>
      <c r="F414" t="s">
        <v>0</v>
      </c>
      <c r="G414" t="s">
        <v>0</v>
      </c>
    </row>
    <row r="415" spans="1:7" x14ac:dyDescent="0.25">
      <c r="A415" t="s">
        <v>0</v>
      </c>
      <c r="B415" s="1" t="s">
        <v>760</v>
      </c>
      <c r="C415" s="5" t="s">
        <v>0</v>
      </c>
      <c r="D415" s="1" t="s">
        <v>0</v>
      </c>
      <c r="E415" s="1" t="s">
        <v>26</v>
      </c>
      <c r="F415" t="s">
        <v>761</v>
      </c>
      <c r="G415">
        <f>IFERROR(VLOOKUP(C415, 'ReferenceData'!$BS$1:$BT$3, 2, 0), "")</f>
      </c>
    </row>
    <row r="416" spans="1:7" x14ac:dyDescent="0.25">
      <c r="A416" t="s">
        <v>0</v>
      </c>
      <c r="B416" s="6" t="s">
        <v>762</v>
      </c>
      <c r="C416" s="1" t="s">
        <v>0</v>
      </c>
      <c r="D416" s="1" t="s">
        <v>0</v>
      </c>
      <c r="E416" s="1" t="s">
        <v>0</v>
      </c>
      <c r="F416" t="s">
        <v>0</v>
      </c>
      <c r="G416" t="s">
        <v>0</v>
      </c>
    </row>
    <row r="417" spans="1:6" x14ac:dyDescent="0.25">
      <c r="A417" t="s">
        <v>0</v>
      </c>
      <c r="B417" s="1" t="s">
        <v>763</v>
      </c>
      <c r="C417" s="5" t="s">
        <v>0</v>
      </c>
      <c r="D417" s="1" t="s">
        <v>0</v>
      </c>
      <c r="E417" s="1" t="s">
        <v>764</v>
      </c>
      <c r="F417" t="s">
        <v>765</v>
      </c>
    </row>
    <row r="418" ht="48" customHeight="1" spans="1:7" x14ac:dyDescent="0.25">
      <c r="A418" s="3" t="s">
        <v>766</v>
      </c>
      <c r="B418" s="3"/>
      <c r="C418" s="3"/>
      <c r="D418" s="3"/>
      <c r="E418" s="3"/>
      <c r="F418" t="s">
        <v>0</v>
      </c>
      <c r="G418" t="s">
        <v>0</v>
      </c>
    </row>
    <row r="419" ht="32" customHeight="1" spans="1:7" x14ac:dyDescent="0.25">
      <c r="A419" s="4" t="s">
        <v>767</v>
      </c>
      <c r="B419" s="4"/>
      <c r="C419" s="4"/>
      <c r="D419" s="4"/>
      <c r="E419" s="4"/>
      <c r="F419" t="s">
        <v>0</v>
      </c>
      <c r="G419" t="s">
        <v>0</v>
      </c>
    </row>
    <row r="420" spans="1:7" x14ac:dyDescent="0.25">
      <c r="A420" t="s">
        <v>0</v>
      </c>
      <c r="B420" s="1" t="s">
        <v>768</v>
      </c>
      <c r="C420" s="5" t="s">
        <v>0</v>
      </c>
      <c r="D420" s="1" t="s">
        <v>0</v>
      </c>
      <c r="E420" s="1" t="s">
        <v>769</v>
      </c>
      <c r="F420" t="s">
        <v>770</v>
      </c>
      <c r="G420">
        <f>IFERROR(VLOOKUP(C420, 'ReferenceData'!$BU$1:$BV$3, 2, 0), "")</f>
      </c>
    </row>
    <row r="421" spans="1:7" x14ac:dyDescent="0.25">
      <c r="A421" t="s">
        <v>0</v>
      </c>
      <c r="B421" s="6" t="s">
        <v>771</v>
      </c>
      <c r="C421" s="1" t="s">
        <v>0</v>
      </c>
      <c r="D421" s="1" t="s">
        <v>0</v>
      </c>
      <c r="E421" s="1" t="s">
        <v>0</v>
      </c>
      <c r="F421" t="s">
        <v>0</v>
      </c>
      <c r="G421" t="s">
        <v>0</v>
      </c>
    </row>
    <row r="422" spans="1:6" x14ac:dyDescent="0.25">
      <c r="A422" t="s">
        <v>0</v>
      </c>
      <c r="B422" s="1" t="s">
        <v>772</v>
      </c>
      <c r="C422" s="5" t="s">
        <v>0</v>
      </c>
      <c r="D422" s="1" t="s">
        <v>0</v>
      </c>
      <c r="E422" s="1" t="s">
        <v>773</v>
      </c>
      <c r="F422" t="s">
        <v>774</v>
      </c>
    </row>
    <row r="423" spans="1:7" x14ac:dyDescent="0.25">
      <c r="A423" t="s">
        <v>0</v>
      </c>
      <c r="B423" s="1" t="s">
        <v>775</v>
      </c>
      <c r="C423" s="5" t="s">
        <v>0</v>
      </c>
      <c r="D423" s="1" t="s">
        <v>0</v>
      </c>
      <c r="E423" s="1" t="s">
        <v>26</v>
      </c>
      <c r="F423" t="s">
        <v>776</v>
      </c>
      <c r="G423">
        <f>IFERROR(VLOOKUP(C423, 'ReferenceData'!$BW$1:$BX$5, 2, 0), "")</f>
      </c>
    </row>
    <row r="424" spans="1:7" x14ac:dyDescent="0.25">
      <c r="A424" t="s">
        <v>0</v>
      </c>
      <c r="B424" s="6" t="s">
        <v>777</v>
      </c>
      <c r="C424" s="1" t="s">
        <v>0</v>
      </c>
      <c r="D424" s="1" t="s">
        <v>0</v>
      </c>
      <c r="E424" s="1" t="s">
        <v>0</v>
      </c>
      <c r="F424" t="s">
        <v>0</v>
      </c>
      <c r="G424" t="s">
        <v>0</v>
      </c>
    </row>
    <row r="425" spans="1:6" x14ac:dyDescent="0.25">
      <c r="A425" t="s">
        <v>0</v>
      </c>
      <c r="B425" s="1" t="s">
        <v>778</v>
      </c>
      <c r="C425" s="5" t="s">
        <v>0</v>
      </c>
      <c r="D425" s="1" t="s">
        <v>0</v>
      </c>
      <c r="E425" s="1" t="s">
        <v>779</v>
      </c>
      <c r="F425" t="s">
        <v>780</v>
      </c>
    </row>
    <row r="426" spans="1:6" x14ac:dyDescent="0.25">
      <c r="A426" t="s">
        <v>0</v>
      </c>
      <c r="B426" s="1" t="s">
        <v>781</v>
      </c>
      <c r="C426" s="5" t="s">
        <v>0</v>
      </c>
      <c r="D426" s="1" t="s">
        <v>0</v>
      </c>
      <c r="E426" s="1" t="s">
        <v>782</v>
      </c>
      <c r="F426" t="s">
        <v>783</v>
      </c>
    </row>
    <row r="427" spans="1:6" x14ac:dyDescent="0.25">
      <c r="A427" t="s">
        <v>0</v>
      </c>
      <c r="B427" s="1" t="s">
        <v>784</v>
      </c>
      <c r="C427" s="5" t="s">
        <v>0</v>
      </c>
      <c r="D427" s="1" t="s">
        <v>0</v>
      </c>
      <c r="E427" s="1" t="s">
        <v>785</v>
      </c>
      <c r="F427" t="s">
        <v>786</v>
      </c>
    </row>
    <row r="428" spans="1:7" x14ac:dyDescent="0.25">
      <c r="A428" t="s">
        <v>0</v>
      </c>
      <c r="B428" s="1" t="s">
        <v>787</v>
      </c>
      <c r="C428" s="5" t="s">
        <v>0</v>
      </c>
      <c r="D428" s="1" t="s">
        <v>0</v>
      </c>
      <c r="E428" s="1" t="s">
        <v>26</v>
      </c>
      <c r="F428" t="s">
        <v>788</v>
      </c>
      <c r="G428">
        <f>IFERROR(VLOOKUP(C428, 'ReferenceData'!$BY$1:$BZ$4, 2, 0), "")</f>
      </c>
    </row>
    <row r="429" ht="48" customHeight="1" spans="1:7" x14ac:dyDescent="0.25">
      <c r="A429" s="3" t="s">
        <v>789</v>
      </c>
      <c r="B429" s="3"/>
      <c r="C429" s="3"/>
      <c r="D429" s="3"/>
      <c r="E429" s="3"/>
      <c r="F429" t="s">
        <v>0</v>
      </c>
      <c r="G429" t="s">
        <v>0</v>
      </c>
    </row>
    <row r="430" ht="32" customHeight="1" spans="1:7" x14ac:dyDescent="0.25">
      <c r="A430" s="4" t="s">
        <v>790</v>
      </c>
      <c r="B430" s="4"/>
      <c r="C430" s="4"/>
      <c r="D430" s="4"/>
      <c r="E430" s="4"/>
      <c r="F430" t="s">
        <v>0</v>
      </c>
      <c r="G430" t="s">
        <v>0</v>
      </c>
    </row>
    <row r="431" spans="1:7" x14ac:dyDescent="0.25">
      <c r="A431" t="s">
        <v>0</v>
      </c>
      <c r="B431" s="1" t="s">
        <v>791</v>
      </c>
      <c r="C431" s="5" t="s">
        <v>0</v>
      </c>
      <c r="D431" s="1" t="s">
        <v>0</v>
      </c>
      <c r="E431" s="1" t="s">
        <v>792</v>
      </c>
      <c r="F431" t="s">
        <v>793</v>
      </c>
      <c r="G431">
        <f>IFERROR(VLOOKUP(C431, 'ReferenceData'!$CA$1:$CB$2, 2, 0), "")</f>
      </c>
    </row>
    <row r="432" spans="1:7" x14ac:dyDescent="0.25">
      <c r="A432" t="s">
        <v>0</v>
      </c>
      <c r="B432" s="1" t="s">
        <v>794</v>
      </c>
      <c r="C432" s="5" t="s">
        <v>0</v>
      </c>
      <c r="D432" s="1" t="s">
        <v>0</v>
      </c>
      <c r="E432" s="1" t="s">
        <v>26</v>
      </c>
      <c r="F432" t="s">
        <v>795</v>
      </c>
      <c r="G432">
        <f>IFERROR(VLOOKUP(C432, 'ReferenceData'!$CC$1:$CD$2, 2, 0), "")</f>
      </c>
    </row>
    <row r="433" spans="1:7" x14ac:dyDescent="0.25">
      <c r="A433" t="s">
        <v>0</v>
      </c>
      <c r="B433" s="6" t="s">
        <v>796</v>
      </c>
      <c r="C433" s="1" t="s">
        <v>0</v>
      </c>
      <c r="D433" s="1" t="s">
        <v>0</v>
      </c>
      <c r="E433" s="1" t="s">
        <v>0</v>
      </c>
      <c r="F433" t="s">
        <v>0</v>
      </c>
      <c r="G433" t="s">
        <v>0</v>
      </c>
    </row>
    <row r="434" spans="1:1" x14ac:dyDescent="0.25">
      <c r="A434" t="s">
        <v>0</v>
      </c>
    </row>
    <row r="435" spans="1:6" s="10" customFormat="1" x14ac:dyDescent="0.25">
      <c r="A435" s="10" t="s">
        <v>0</v>
      </c>
      <c r="B435" s="11" t="s">
        <v>797</v>
      </c>
      <c r="C435" s="11" t="s">
        <v>0</v>
      </c>
      <c r="D435" s="11" t="s">
        <v>0</v>
      </c>
      <c r="E435" s="11" t="s">
        <v>798</v>
      </c>
      <c r="F435" s="10" t="s">
        <v>799</v>
      </c>
    </row>
    <row r="436" spans="1:8" x14ac:dyDescent="0.25">
      <c r="A436" t="s">
        <v>0</v>
      </c>
      <c r="B436" s="1" t="s">
        <v>800</v>
      </c>
      <c r="C436" s="5" t="s">
        <v>0</v>
      </c>
      <c r="D436" s="1" t="s">
        <v>0</v>
      </c>
      <c r="E436" s="1" t="s">
        <v>0</v>
      </c>
      <c r="F436" t="s">
        <v>799</v>
      </c>
      <c r="H436">
        <f>IF(ISBLANK(C436), "", C436)</f>
      </c>
    </row>
    <row r="437" spans="1:8" x14ac:dyDescent="0.25">
      <c r="A437" t="s">
        <v>0</v>
      </c>
      <c r="B437" s="1" t="s">
        <v>801</v>
      </c>
      <c r="C437" s="5" t="s">
        <v>0</v>
      </c>
      <c r="D437" s="1" t="s">
        <v>0</v>
      </c>
      <c r="E437" s="1" t="s">
        <v>0</v>
      </c>
      <c r="F437" t="s">
        <v>799</v>
      </c>
      <c r="H437">
        <f>IF(ISBLANK(C437), "", C437)</f>
      </c>
    </row>
    <row r="438" spans="1:8" x14ac:dyDescent="0.25">
      <c r="A438" t="s">
        <v>0</v>
      </c>
      <c r="B438" s="1" t="s">
        <v>802</v>
      </c>
      <c r="C438" s="5" t="s">
        <v>0</v>
      </c>
      <c r="D438" s="1" t="s">
        <v>0</v>
      </c>
      <c r="E438" s="1" t="s">
        <v>0</v>
      </c>
      <c r="F438" t="s">
        <v>799</v>
      </c>
      <c r="H438">
        <f>IF(ISBLANK(C438), "", C438)</f>
      </c>
    </row>
    <row r="439" spans="1:8" x14ac:dyDescent="0.25">
      <c r="A439" t="s">
        <v>0</v>
      </c>
      <c r="B439" s="1" t="s">
        <v>803</v>
      </c>
      <c r="C439" s="5" t="s">
        <v>0</v>
      </c>
      <c r="D439" s="1" t="s">
        <v>0</v>
      </c>
      <c r="E439" s="1" t="s">
        <v>0</v>
      </c>
      <c r="F439" t="s">
        <v>799</v>
      </c>
      <c r="H439">
        <f>IF(ISBLANK(C439), "", C439)</f>
      </c>
    </row>
    <row r="440" spans="1:8" x14ac:dyDescent="0.25">
      <c r="A440" t="s">
        <v>0</v>
      </c>
      <c r="B440" s="1" t="s">
        <v>804</v>
      </c>
      <c r="C440" s="5" t="s">
        <v>0</v>
      </c>
      <c r="D440" s="1" t="s">
        <v>0</v>
      </c>
      <c r="E440" s="1" t="s">
        <v>0</v>
      </c>
      <c r="F440" t="s">
        <v>799</v>
      </c>
      <c r="H440">
        <f>IF(ISBLANK(C440), "", C440)</f>
      </c>
    </row>
    <row r="441" spans="1:1" x14ac:dyDescent="0.25">
      <c r="A441" t="s">
        <v>0</v>
      </c>
    </row>
    <row r="442" spans="1:7" x14ac:dyDescent="0.25">
      <c r="A442" t="s">
        <v>0</v>
      </c>
      <c r="B442" s="6" t="s">
        <v>796</v>
      </c>
      <c r="C442" s="1" t="s">
        <v>0</v>
      </c>
      <c r="D442" s="1" t="s">
        <v>0</v>
      </c>
      <c r="E442" s="1" t="s">
        <v>0</v>
      </c>
      <c r="F442" t="s">
        <v>0</v>
      </c>
      <c r="G442" t="s">
        <v>0</v>
      </c>
    </row>
    <row r="443" spans="1:6" x14ac:dyDescent="0.25">
      <c r="A443" t="s">
        <v>0</v>
      </c>
      <c r="B443" s="1" t="s">
        <v>805</v>
      </c>
      <c r="C443" s="5" t="s">
        <v>0</v>
      </c>
      <c r="D443" s="1" t="s">
        <v>0</v>
      </c>
      <c r="E443" s="1" t="s">
        <v>806</v>
      </c>
      <c r="F443" t="s">
        <v>807</v>
      </c>
    </row>
    <row r="444" spans="1:7" x14ac:dyDescent="0.25">
      <c r="A444" t="s">
        <v>0</v>
      </c>
      <c r="B444" s="6" t="s">
        <v>796</v>
      </c>
      <c r="C444" s="1" t="s">
        <v>0</v>
      </c>
      <c r="D444" s="1" t="s">
        <v>0</v>
      </c>
      <c r="E444" s="1" t="s">
        <v>0</v>
      </c>
      <c r="F444" t="s">
        <v>0</v>
      </c>
      <c r="G444" t="s">
        <v>0</v>
      </c>
    </row>
    <row r="445" spans="1:6" x14ac:dyDescent="0.25">
      <c r="A445" t="s">
        <v>0</v>
      </c>
      <c r="B445" s="1" t="s">
        <v>808</v>
      </c>
      <c r="C445" s="5" t="s">
        <v>0</v>
      </c>
      <c r="D445" s="1" t="s">
        <v>0</v>
      </c>
      <c r="E445" s="1" t="s">
        <v>809</v>
      </c>
      <c r="F445" t="s">
        <v>810</v>
      </c>
    </row>
    <row r="446" spans="1:7" x14ac:dyDescent="0.25">
      <c r="A446" t="s">
        <v>0</v>
      </c>
      <c r="B446" s="1" t="s">
        <v>811</v>
      </c>
      <c r="C446" s="5" t="s">
        <v>0</v>
      </c>
      <c r="D446" s="1" t="s">
        <v>0</v>
      </c>
      <c r="E446" s="1" t="s">
        <v>812</v>
      </c>
      <c r="F446" t="s">
        <v>813</v>
      </c>
      <c r="G446">
        <f>IFERROR(VLOOKUP(C446, 'ReferenceData'!$CE$1:$CF$3, 2, 0), "")</f>
      </c>
    </row>
  </sheetData>
  <mergeCells count="19">
    <mergeCell ref="A2:E2"/>
    <mergeCell ref="A3:E3"/>
    <mergeCell ref="A89:E89"/>
    <mergeCell ref="A90:E90"/>
    <mergeCell ref="A315:E315"/>
    <mergeCell ref="A329:E329"/>
    <mergeCell ref="A330:E330"/>
    <mergeCell ref="A338:E338"/>
    <mergeCell ref="A342:E342"/>
    <mergeCell ref="A343:E343"/>
    <mergeCell ref="A371:E371"/>
    <mergeCell ref="A372:E372"/>
    <mergeCell ref="A391:E391"/>
    <mergeCell ref="A396:E396"/>
    <mergeCell ref="A397:E397"/>
    <mergeCell ref="A418:E418"/>
    <mergeCell ref="A419:E419"/>
    <mergeCell ref="A429:E429"/>
    <mergeCell ref="A430:E430"/>
  </mergeCells>
  <conditionalFormatting sqref="C4">
    <cfRule type="expression" dxfId="0" priority="5000">
      <formula>ISBLANK(C4)</formula>
    </cfRule>
  </conditionalFormatting>
  <conditionalFormatting sqref="C5">
    <cfRule type="expression" dxfId="1" priority="5001">
      <formula>AND(ISBLANK(C5), NOT(ISBLANK(C4)))</formula>
    </cfRule>
  </conditionalFormatting>
  <conditionalFormatting sqref="C6">
    <cfRule type="expression" dxfId="2" priority="5002">
      <formula>AND(ISBLANK(C6), NOT(ISBLANK(C5)))</formula>
    </cfRule>
  </conditionalFormatting>
  <conditionalFormatting sqref="C8">
    <cfRule type="expression" dxfId="3" priority="5003">
      <formula>AND(ISBLANK(C8), NOT(ISBLANK(C6)))</formula>
    </cfRule>
  </conditionalFormatting>
  <conditionalFormatting sqref="C10">
    <cfRule type="expression" dxfId="4" priority="5004">
      <formula>AND(ISBLANK(C10), NOT(ISBLANK(C8)))</formula>
    </cfRule>
  </conditionalFormatting>
  <conditionalFormatting sqref="C11">
    <cfRule type="expression" dxfId="5" priority="5005">
      <formula>AND(ISBLANK(C11), NOT(ISBLANK(C10)))</formula>
    </cfRule>
  </conditionalFormatting>
  <conditionalFormatting sqref="C12">
    <cfRule type="expression" dxfId="6" priority="5006">
      <formula>AND(ISBLANK(C12), NOT(ISBLANK(C11)))</formula>
    </cfRule>
  </conditionalFormatting>
  <conditionalFormatting sqref="C31">
    <cfRule type="expression" dxfId="7" priority="5007">
      <formula>AND(ISBLANK(C31), NOT(ISBLANK(C12)))</formula>
    </cfRule>
  </conditionalFormatting>
  <conditionalFormatting sqref="C32">
    <cfRule type="expression" dxfId="8" priority="5008">
      <formula>AND(ISBLANK(C32), NOT(ISBLANK(C31)))</formula>
    </cfRule>
  </conditionalFormatting>
  <conditionalFormatting sqref="C35:C45">
    <cfRule type="expression" dxfId="9" priority="5009">
      <formula>AND($C$45="Selected", COUNTIF(C35:C45, "Selected")&gt;1)</formula>
    </cfRule>
  </conditionalFormatting>
  <conditionalFormatting sqref="C66">
    <cfRule type="expression" dxfId="10" priority="5010">
      <formula>AND(ISBLANK(C66), NOT(ISBLANK(C32)))</formula>
    </cfRule>
  </conditionalFormatting>
  <conditionalFormatting sqref="C67">
    <cfRule type="expression" dxfId="11" priority="5011">
      <formula>AND(ISBLANK(C67), NOT(ISBLANK(C66)))</formula>
    </cfRule>
  </conditionalFormatting>
  <conditionalFormatting sqref="C68">
    <cfRule type="expression" dxfId="12" priority="5012">
      <formula>AND(ISBLANK(C68), NOT(ISBLANK(C67)))</formula>
    </cfRule>
  </conditionalFormatting>
  <conditionalFormatting sqref="C71:C87">
    <cfRule type="expression" dxfId="13" priority="5013">
      <formula>AND($C$71="Selected", COUNTIF(C71:C87, "Selected")&gt;1)</formula>
    </cfRule>
  </conditionalFormatting>
  <conditionalFormatting sqref="C91">
    <cfRule type="expression" dxfId="14" priority="5014">
      <formula>AND(ISBLANK(C91), NOT(ISBLANK(C68)))</formula>
    </cfRule>
  </conditionalFormatting>
  <conditionalFormatting sqref="C92">
    <cfRule type="expression" dxfId="15" priority="5015">
      <formula>AND(ISBLANK(C92), NOT(ISBLANK(C91)))</formula>
    </cfRule>
  </conditionalFormatting>
  <conditionalFormatting sqref="C93">
    <cfRule type="expression" dxfId="16" priority="5016">
      <formula>AND(ISBLANK(C93), NOT(ISBLANK(C92)))</formula>
    </cfRule>
  </conditionalFormatting>
  <conditionalFormatting sqref="C127">
    <cfRule type="expression" dxfId="17" priority="5017">
      <formula>AND(ISBLANK(C127), NOT(ISBLANK(C93)))</formula>
    </cfRule>
  </conditionalFormatting>
  <conditionalFormatting sqref="C299">
    <cfRule type="expression" dxfId="18" priority="5018">
      <formula>AND(ISBLANK(C299), NOT(ISBLANK(C127)))</formula>
    </cfRule>
  </conditionalFormatting>
  <conditionalFormatting sqref="C301">
    <cfRule type="expression" dxfId="19" priority="5019">
      <formula>AND(ISBLANK(C301), NOT(ISBLANK(C299)))</formula>
    </cfRule>
  </conditionalFormatting>
  <conditionalFormatting sqref="C303">
    <cfRule type="expression" dxfId="20" priority="5020">
      <formula>AND(ISBLANK(C303), NOT(ISBLANK(C301)))</formula>
    </cfRule>
  </conditionalFormatting>
  <conditionalFormatting sqref="C304">
    <cfRule type="expression" dxfId="21" priority="5021">
      <formula>AND(ISBLANK(C304), NOT(ISBLANK(C303)))</formula>
    </cfRule>
  </conditionalFormatting>
  <conditionalFormatting sqref="C307:C312">
    <cfRule type="expression" dxfId="22" priority="5022">
      <formula>AND($C$312="Selected", COUNTIF(C307:C312, "Selected")&gt;1)</formula>
    </cfRule>
  </conditionalFormatting>
  <conditionalFormatting sqref="C314">
    <cfRule type="expression" dxfId="23" priority="5023">
      <formula>AND(ISBLANK(C314), NOT(ISBLANK(C304)))</formula>
    </cfRule>
  </conditionalFormatting>
  <conditionalFormatting sqref="C316">
    <cfRule type="expression" dxfId="24" priority="5024">
      <formula>AND(ISBLANK(C316), NOT(ISBLANK(C314)))</formula>
    </cfRule>
  </conditionalFormatting>
  <conditionalFormatting sqref="C317">
    <cfRule type="expression" dxfId="25" priority="5025">
      <formula>AND(ISBLANK(C317), NOT(ISBLANK(C316)))</formula>
    </cfRule>
  </conditionalFormatting>
  <conditionalFormatting sqref="C319">
    <cfRule type="expression" dxfId="26" priority="5026">
      <formula>AND(ISBLANK(C319), NOT(ISBLANK(C317)))</formula>
    </cfRule>
  </conditionalFormatting>
  <conditionalFormatting sqref="C322:C327">
    <cfRule type="expression" dxfId="27" priority="5027">
      <formula>AND($C$327="Selected", COUNTIF(C322:C327, "Selected")&gt;1)</formula>
    </cfRule>
  </conditionalFormatting>
  <conditionalFormatting sqref="C331">
    <cfRule type="expression" dxfId="28" priority="5028">
      <formula>AND(ISBLANK(C331), NOT(ISBLANK(C319)))</formula>
    </cfRule>
  </conditionalFormatting>
  <conditionalFormatting sqref="C333">
    <cfRule type="expression" dxfId="29" priority="5029">
      <formula>AND(ISBLANK(C333), NOT(ISBLANK(C331)))</formula>
    </cfRule>
  </conditionalFormatting>
  <conditionalFormatting sqref="C335">
    <cfRule type="expression" dxfId="30" priority="5030">
      <formula>AND(ISBLANK(C335), NOT(ISBLANK(C333)))</formula>
    </cfRule>
  </conditionalFormatting>
  <conditionalFormatting sqref="C337">
    <cfRule type="expression" dxfId="31" priority="5031">
      <formula>AND(ISBLANK(C337), NOT(ISBLANK(C335)))</formula>
    </cfRule>
  </conditionalFormatting>
  <conditionalFormatting sqref="C339">
    <cfRule type="expression" dxfId="32" priority="5032">
      <formula>AND(ISBLANK(C339), NOT(ISBLANK(C337)))</formula>
    </cfRule>
  </conditionalFormatting>
  <conditionalFormatting sqref="C341">
    <cfRule type="expression" dxfId="33" priority="5033">
      <formula>AND(ISBLANK(C341), NOT(ISBLANK(C339)))</formula>
    </cfRule>
  </conditionalFormatting>
  <conditionalFormatting sqref="C344">
    <cfRule type="expression" dxfId="34" priority="5034">
      <formula>AND(ISBLANK(C344), NOT(ISBLANK(C341)))</formula>
    </cfRule>
  </conditionalFormatting>
  <conditionalFormatting sqref="C345">
    <cfRule type="expression" dxfId="35" priority="5035">
      <formula>AND(ISBLANK(C345), NOT(ISBLANK(C344)))</formula>
    </cfRule>
  </conditionalFormatting>
  <conditionalFormatting sqref="C373">
    <cfRule type="expression" dxfId="36" priority="5036">
      <formula>AND(ISBLANK(C373), NOT(ISBLANK(C345)))</formula>
    </cfRule>
  </conditionalFormatting>
  <conditionalFormatting sqref="C392">
    <cfRule type="expression" dxfId="37" priority="5037">
      <formula>AND(ISBLANK(C392), NOT(ISBLANK(C373)))</formula>
    </cfRule>
  </conditionalFormatting>
  <conditionalFormatting sqref="C393">
    <cfRule type="expression" dxfId="38" priority="5038">
      <formula>AND(ISBLANK(C393), NOT(ISBLANK(C392)))</formula>
    </cfRule>
  </conditionalFormatting>
  <conditionalFormatting sqref="C394">
    <cfRule type="expression" dxfId="39" priority="5039">
      <formula>AND(ISBLANK(C394), NOT(ISBLANK(C393)))</formula>
    </cfRule>
  </conditionalFormatting>
  <conditionalFormatting sqref="C395">
    <cfRule type="expression" dxfId="40" priority="5040">
      <formula>AND(ISBLANK(C395), NOT(ISBLANK(C394)))</formula>
    </cfRule>
  </conditionalFormatting>
  <conditionalFormatting sqref="C398">
    <cfRule type="expression" dxfId="41" priority="5041">
      <formula>AND(ISBLANK(C398), NOT(ISBLANK(C395)))</formula>
    </cfRule>
  </conditionalFormatting>
  <conditionalFormatting sqref="C411">
    <cfRule type="expression" dxfId="42" priority="5042">
      <formula>AND(ISBLANK(C411), NOT(ISBLANK(C398)))</formula>
    </cfRule>
  </conditionalFormatting>
  <conditionalFormatting sqref="C413">
    <cfRule type="expression" dxfId="43" priority="5043">
      <formula>AND(ISBLANK(C413), NOT(ISBLANK(C411)))</formula>
    </cfRule>
  </conditionalFormatting>
  <conditionalFormatting sqref="C415">
    <cfRule type="expression" dxfId="44" priority="5044">
      <formula>AND(ISBLANK(C415), NOT(ISBLANK(C413)))</formula>
    </cfRule>
  </conditionalFormatting>
  <conditionalFormatting sqref="C417">
    <cfRule type="expression" dxfId="45" priority="5045">
      <formula>AND(ISBLANK(C417), NOT(ISBLANK(C415)))</formula>
    </cfRule>
  </conditionalFormatting>
  <conditionalFormatting sqref="C420">
    <cfRule type="expression" dxfId="46" priority="5046">
      <formula>AND(ISBLANK(C420), NOT(ISBLANK(C417)))</formula>
    </cfRule>
  </conditionalFormatting>
  <conditionalFormatting sqref="C422">
    <cfRule type="expression" dxfId="47" priority="5047">
      <formula>AND(ISBLANK(C422), NOT(ISBLANK(C420)))</formula>
    </cfRule>
  </conditionalFormatting>
  <conditionalFormatting sqref="C423">
    <cfRule type="expression" dxfId="48" priority="5048">
      <formula>AND(ISBLANK(C423), NOT(ISBLANK(C422)))</formula>
    </cfRule>
  </conditionalFormatting>
  <conditionalFormatting sqref="C425">
    <cfRule type="expression" dxfId="49" priority="5049">
      <formula>AND(ISBLANK(C425), NOT(ISBLANK(C423)))</formula>
    </cfRule>
  </conditionalFormatting>
  <conditionalFormatting sqref="C426">
    <cfRule type="expression" dxfId="50" priority="5050">
      <formula>AND(ISBLANK(C426), NOT(ISBLANK(C425)))</formula>
    </cfRule>
  </conditionalFormatting>
  <conditionalFormatting sqref="C427">
    <cfRule type="expression" dxfId="51" priority="5051">
      <formula>AND(ISBLANK(C427), NOT(ISBLANK(C426)))</formula>
    </cfRule>
  </conditionalFormatting>
  <conditionalFormatting sqref="C428">
    <cfRule type="expression" dxfId="52" priority="5052">
      <formula>AND(ISBLANK(C428), NOT(ISBLANK(C427)))</formula>
    </cfRule>
  </conditionalFormatting>
  <conditionalFormatting sqref="C431">
    <cfRule type="expression" dxfId="53" priority="5053">
      <formula>AND(ISBLANK(C431), NOT(ISBLANK(C428)))</formula>
    </cfRule>
  </conditionalFormatting>
  <conditionalFormatting sqref="C432">
    <cfRule type="expression" dxfId="54" priority="5054">
      <formula>AND(ISBLANK(C432), NOT(ISBLANK(C431)))</formula>
    </cfRule>
  </conditionalFormatting>
  <conditionalFormatting sqref="C443">
    <cfRule type="expression" dxfId="55" priority="5055">
      <formula>AND(ISBLANK(C443), NOT(ISBLANK(C432)))</formula>
    </cfRule>
  </conditionalFormatting>
  <conditionalFormatting sqref="C445">
    <cfRule type="expression" dxfId="56" priority="5056">
      <formula>AND(ISBLANK(C445), NOT(ISBLANK(C443)))</formula>
    </cfRule>
  </conditionalFormatting>
  <conditionalFormatting sqref="C446">
    <cfRule type="expression" dxfId="57" priority="5057">
      <formula>AND(ISBLANK(C446), NOT(ISBLANK(C445)))</formula>
    </cfRule>
  </conditionalFormatting>
  <dataValidations count="88">
    <dataValidation type="list" allowBlank="1" showErrorMessage="1" errorTitle="Invalid Selection" error="Select from list." sqref="C10">
      <formula1>'ReferenceData'!$C$1:$C$195</formula1>
    </dataValidation>
    <dataValidation type="list" sqref="C100:C125">
      <formula1>"Selected,Not Selected"</formula1>
    </dataValidation>
    <dataValidation type="list" allowBlank="1" showErrorMessage="1" errorTitle="Invalid Selection" error="Select from list." sqref="C11">
      <formula1>'ReferenceData'!$E$1:$E$2</formula1>
    </dataValidation>
    <dataValidation type="list" allowBlank="1" showErrorMessage="1" errorTitle="Invalid Selection" error="Select from list." sqref="C127">
      <formula1>'ReferenceData'!$O$1:$O$2</formula1>
    </dataValidation>
    <dataValidation type="list" allowBlank="1" showErrorMessage="1" errorTitle="Invalid Selection" error="Select from list." sqref="C13">
      <formula1>'ReferenceData'!$G$1:$G$2</formula1>
    </dataValidation>
    <dataValidation type="list" sqref="C131:C297">
      <formula1>"Selected,Not Selected"</formula1>
    </dataValidation>
    <dataValidation type="list" sqref="C17:C29">
      <formula1>"Selected,Not Selected"</formula1>
    </dataValidation>
    <dataValidation type="list" allowBlank="1" showErrorMessage="1" errorTitle="Invalid Selection" error="Select from list." sqref="C299">
      <formula1>'ReferenceData'!$Q$1:$Q$3</formula1>
    </dataValidation>
    <dataValidation type="textLength" operator="lessThanOrEqual" showErrorMessage="1" errorTitle="Too Long" error="Limit: 2000 chars." sqref="C301">
      <formula1>2000</formula1>
    </dataValidation>
    <dataValidation type="textLength" operator="lessThanOrEqual" showErrorMessage="1" errorTitle="Too Long" error="Limit: 2000 chars." sqref="C303">
      <formula1>2000</formula1>
    </dataValidation>
    <dataValidation type="list" allowBlank="1" showErrorMessage="1" errorTitle="Invalid Selection" error="Select from list." sqref="C304">
      <formula1>'ReferenceData'!$S$1:$S$3</formula1>
    </dataValidation>
    <dataValidation type="list" sqref="C307:C312">
      <formula1>"Selected,Not Selected"</formula1>
    </dataValidation>
    <dataValidation type="list" allowBlank="1" showErrorMessage="1" errorTitle="Invalid Selection" error="Select from list." sqref="C31">
      <formula1>'ReferenceData'!$I$1:$I$13</formula1>
    </dataValidation>
    <dataValidation type="list" allowBlank="1" showErrorMessage="1" errorTitle="Invalid Selection" error="Select from list." sqref="C314">
      <formula1>'ReferenceData'!$U$1:$U$2</formula1>
    </dataValidation>
    <dataValidation type="list" allowBlank="1" showErrorMessage="1" errorTitle="Invalid Selection" error="Select from list." sqref="C316">
      <formula1>'ReferenceData'!$W$1:$W$2</formula1>
    </dataValidation>
    <dataValidation type="list" allowBlank="1" showErrorMessage="1" errorTitle="Invalid Selection" error="Select from list." sqref="C317">
      <formula1>'ReferenceData'!$Y$1:$Y$2</formula1>
    </dataValidation>
    <dataValidation type="textLength" operator="lessThanOrEqual" showErrorMessage="1" errorTitle="Too Long" error="Limit: 1500 chars." sqref="C319">
      <formula1>1500</formula1>
    </dataValidation>
    <dataValidation type="textLength" operator="lessThanOrEqual" showErrorMessage="1" errorTitle="Too Long" error="Limit: 100 chars." sqref="C32">
      <formula1>100</formula1>
    </dataValidation>
    <dataValidation type="list" sqref="C322:C327">
      <formula1>"Selected,Not Selected"</formula1>
    </dataValidation>
    <dataValidation type="list" allowBlank="1" showErrorMessage="1" errorTitle="Invalid Selection" error="Select from list." sqref="C331">
      <formula1>'ReferenceData'!$AA$1:$AA$3</formula1>
    </dataValidation>
    <dataValidation type="textLength" operator="lessThanOrEqual" showErrorMessage="1" errorTitle="Too Long" error="Limit: 1500 chars." sqref="C333">
      <formula1>1500</formula1>
    </dataValidation>
    <dataValidation type="list" allowBlank="1" showErrorMessage="1" errorTitle="Invalid Selection" error="Select from list." sqref="C335">
      <formula1>'ReferenceData'!$AC$1:$AC$5</formula1>
    </dataValidation>
    <dataValidation type="textLength" operator="lessThanOrEqual" showErrorMessage="1" errorTitle="Too Long" error="Limit: 1500 chars." sqref="C337">
      <formula1>1500</formula1>
    </dataValidation>
    <dataValidation type="list" allowBlank="1" showErrorMessage="1" errorTitle="Invalid Selection" error="Select from list." sqref="C339">
      <formula1>'ReferenceData'!$AE$1:$AE$5</formula1>
    </dataValidation>
    <dataValidation type="textLength" operator="lessThanOrEqual" showErrorMessage="1" errorTitle="Too Long" error="Limit: 1000 chars." sqref="C341">
      <formula1>1000</formula1>
    </dataValidation>
    <dataValidation type="list" allowBlank="1" showErrorMessage="1" errorTitle="Invalid Selection" error="Select from list." sqref="C344">
      <formula1>'ReferenceData'!$AG$1:$AG$3</formula1>
    </dataValidation>
    <dataValidation type="list" allowBlank="1" showErrorMessage="1" errorTitle="Invalid Selection" error="Select from list." sqref="C345">
      <formula1>'ReferenceData'!$AI$1:$AI$3</formula1>
    </dataValidation>
    <dataValidation type="list" sqref="C349:C355">
      <formula1>"Selected,Not Selected"</formula1>
    </dataValidation>
    <dataValidation type="list" sqref="C35:C45">
      <formula1>"Selected,Not Selected"</formula1>
    </dataValidation>
    <dataValidation type="textLength" operator="lessThanOrEqual" showErrorMessage="1" errorTitle="Too Long" error="Limit: 100" sqref="C360">
      <formula1>100</formula1>
    </dataValidation>
    <dataValidation type="textLength" operator="lessThanOrEqual" showErrorMessage="1" errorTitle="Too Long" error="Limit: 500" sqref="C361">
      <formula1>500</formula1>
    </dataValidation>
    <dataValidation type="textLength" operator="lessThanOrEqual" showErrorMessage="1" errorTitle="Too Long" error="Limit: 100" sqref="C362">
      <formula1>100</formula1>
    </dataValidation>
    <dataValidation type="textLength" operator="lessThanOrEqual" showErrorMessage="1" errorTitle="Too Long" error="Limit: 500" sqref="C363">
      <formula1>500</formula1>
    </dataValidation>
    <dataValidation type="textLength" operator="lessThanOrEqual" showErrorMessage="1" errorTitle="Too Long" error="Limit: 100" sqref="C364">
      <formula1>100</formula1>
    </dataValidation>
    <dataValidation type="textLength" operator="lessThanOrEqual" showErrorMessage="1" errorTitle="Too Long" error="Limit: 500" sqref="C365">
      <formula1>500</formula1>
    </dataValidation>
    <dataValidation type="textLength" operator="lessThanOrEqual" showErrorMessage="1" errorTitle="Too Long" error="Limit: 100" sqref="C366">
      <formula1>100</formula1>
    </dataValidation>
    <dataValidation type="textLength" operator="lessThanOrEqual" showErrorMessage="1" errorTitle="Too Long" error="Limit: 500" sqref="C367">
      <formula1>500</formula1>
    </dataValidation>
    <dataValidation type="textLength" operator="lessThanOrEqual" showErrorMessage="1" errorTitle="Too Long" error="Limit: 100" sqref="C368">
      <formula1>100</formula1>
    </dataValidation>
    <dataValidation type="textLength" operator="lessThanOrEqual" showErrorMessage="1" errorTitle="Too Long" error="Limit: 500" sqref="C369">
      <formula1>500</formula1>
    </dataValidation>
    <dataValidation type="list" allowBlank="1" showErrorMessage="1" errorTitle="Invalid Selection" error="Select from list." sqref="C373">
      <formula1>'ReferenceData'!$AK$1:$AK$4</formula1>
    </dataValidation>
    <dataValidation type="list" sqref="C377:C389">
      <formula1>"Selected,Not Selected"</formula1>
    </dataValidation>
    <dataValidation type="list" allowBlank="1" showErrorMessage="1" errorTitle="Invalid Selection" error="Select from list." sqref="C392">
      <formula1>'ReferenceData'!$BM$1:$BM$3</formula1>
    </dataValidation>
    <dataValidation type="textLength" operator="lessThanOrEqual" showErrorMessage="1" errorTitle="Too Long" error="Limit: 100 chars." sqref="C393">
      <formula1>100</formula1>
    </dataValidation>
    <dataValidation type="list" allowBlank="1" showErrorMessage="1" errorTitle="Invalid Selection" error="Select from list." sqref="C394">
      <formula1>'ReferenceData'!$BO$1:$BO$2</formula1>
    </dataValidation>
    <dataValidation type="textLength" operator="lessThanOrEqual" showErrorMessage="1" errorTitle="Too Long" error="Limit: 100 chars." sqref="C395">
      <formula1>100</formula1>
    </dataValidation>
    <dataValidation type="list" allowBlank="1" showErrorMessage="1" errorTitle="Invalid Selection" error="Select from list." sqref="C398">
      <formula1>'ReferenceData'!$BQ$1:$BQ$3</formula1>
    </dataValidation>
    <dataValidation type="textLength" operator="lessThanOrEqual" showErrorMessage="1" errorTitle="Too Long" error="Limit: 100 chars." sqref="C4">
      <formula1>100</formula1>
    </dataValidation>
    <dataValidation type="list" sqref="C402:C408">
      <formula1>"Selected,Not Selected"</formula1>
    </dataValidation>
    <dataValidation type="textLength" operator="lessThanOrEqual" showErrorMessage="1" errorTitle="Too Long" error="Limit: 1000 chars." sqref="C411">
      <formula1>1000</formula1>
    </dataValidation>
    <dataValidation type="textLength" operator="lessThanOrEqual" showErrorMessage="1" errorTitle="Too Long" error="Limit: 1000 chars." sqref="C413">
      <formula1>1000</formula1>
    </dataValidation>
    <dataValidation type="list" allowBlank="1" showErrorMessage="1" errorTitle="Invalid Selection" error="Select from list." sqref="C415">
      <formula1>'ReferenceData'!$BS$1:$BS$3</formula1>
    </dataValidation>
    <dataValidation type="textLength" operator="lessThanOrEqual" showErrorMessage="1" errorTitle="Too Long" error="Limit: 500 chars." sqref="C417">
      <formula1>500</formula1>
    </dataValidation>
    <dataValidation type="list" allowBlank="1" showErrorMessage="1" errorTitle="Invalid Selection" error="Select from list." sqref="C420">
      <formula1>'ReferenceData'!$BU$1:$BU$3</formula1>
    </dataValidation>
    <dataValidation type="textLength" operator="lessThanOrEqual" showErrorMessage="1" errorTitle="Too Long" error="Limit: 1000 chars." sqref="C422">
      <formula1>1000</formula1>
    </dataValidation>
    <dataValidation type="list" allowBlank="1" showErrorMessage="1" errorTitle="Invalid Selection" error="Select from list." sqref="C423">
      <formula1>'ReferenceData'!$BW$1:$BW$5</formula1>
    </dataValidation>
    <dataValidation type="textLength" operator="lessThanOrEqual" showErrorMessage="1" errorTitle="Too Long" error="Limit: 1000 chars." sqref="C425">
      <formula1>1000</formula1>
    </dataValidation>
    <dataValidation type="textLength" operator="lessThanOrEqual" showErrorMessage="1" errorTitle="Too Long" error="Limit: 500 chars." sqref="C426">
      <formula1>500</formula1>
    </dataValidation>
    <dataValidation type="textLength" operator="lessThanOrEqual" showErrorMessage="1" errorTitle="Too Long" error="Limit: 1000 chars." sqref="C427">
      <formula1>1000</formula1>
    </dataValidation>
    <dataValidation type="list" allowBlank="1" showErrorMessage="1" errorTitle="Invalid Selection" error="Select from list." sqref="C428">
      <formula1>'ReferenceData'!$BY$1:$BY$4</formula1>
    </dataValidation>
    <dataValidation type="list" allowBlank="1" showErrorMessage="1" errorTitle="Invalid Selection" error="Select from list." sqref="C431">
      <formula1>'ReferenceData'!$CA$1:$CA$2</formula1>
    </dataValidation>
    <dataValidation type="list" allowBlank="1" showErrorMessage="1" errorTitle="Invalid Selection" error="Select from list." sqref="C432">
      <formula1>'ReferenceData'!$CC$1:$CC$2</formula1>
    </dataValidation>
    <dataValidation type="textLength" operator="lessThanOrEqual" showErrorMessage="1" errorTitle="Too Long" error="Limit: 100" sqref="C436:C440">
      <formula1>100</formula1>
    </dataValidation>
    <dataValidation type="textLength" operator="lessThanOrEqual" showErrorMessage="1" errorTitle="Too Long" error="Limit: 2000 chars." sqref="C443">
      <formula1>2000</formula1>
    </dataValidation>
    <dataValidation type="textLength" operator="lessThanOrEqual" showErrorMessage="1" errorTitle="Too Long" error="Limit: 2000 chars." sqref="C445">
      <formula1>2000</formula1>
    </dataValidation>
    <dataValidation type="list" allowBlank="1" showErrorMessage="1" errorTitle="Invalid Selection" error="Select from list." sqref="C446">
      <formula1>'ReferenceData'!$CE$1:$CE$3</formula1>
    </dataValidation>
    <dataValidation type="list" sqref="C49:C64">
      <formula1>"Selected,Not Selected"</formula1>
    </dataValidation>
    <dataValidation type="textLength" operator="lessThanOrEqual" showErrorMessage="1" errorTitle="Too Long" error="Limit: 500 chars." sqref="C5">
      <formula1>500</formula1>
    </dataValidation>
    <dataValidation type="list" allowBlank="1" showErrorMessage="1" errorTitle="Invalid Selection" error="Select from list." sqref="C6">
      <formula1>'ReferenceData'!$A$1:$A$5</formula1>
    </dataValidation>
    <dataValidation type="list" allowBlank="1" showErrorMessage="1" errorTitle="Invalid Selection" error="Select from list." sqref="C66">
      <formula1>'ReferenceData'!$K$1:$K$8</formula1>
    </dataValidation>
    <dataValidation type="textLength" operator="lessThanOrEqual" showErrorMessage="1" errorTitle="Too Long" error="Limit: 2000 chars." sqref="C67:C68">
      <formula1>2000</formula1>
    </dataValidation>
    <dataValidation type="list" sqref="C71:C87">
      <formula1>"Selected,Not Selected"</formula1>
    </dataValidation>
    <dataValidation type="textLength" operator="lessThanOrEqual" showErrorMessage="1" errorTitle="Too Long" error="Limit: 8 chars." sqref="C8">
      <formula1>8</formula1>
    </dataValidation>
    <dataValidation type="textLength" operator="lessThanOrEqual" showErrorMessage="1" errorTitle="Too Long" error="Limit: 1500 chars." sqref="C91:C92">
      <formula1>1500</formula1>
    </dataValidation>
    <dataValidation type="list" allowBlank="1" showErrorMessage="1" errorTitle="Invalid Selection" error="Select from list." sqref="C93">
      <formula1>'ReferenceData'!$M$1:$M$2</formula1>
    </dataValidation>
    <dataValidation type="list" sqref="C96:C125">
      <formula1>"Selected,Not Selected"</formula1>
    </dataValidation>
    <dataValidation type="list" allowBlank="1" showErrorMessage="1" errorTitle="Invalid Selection" error="Select from list." sqref="D377">
      <formula1>'ReferenceData'!$AM$1:$AM$3</formula1>
    </dataValidation>
    <dataValidation type="list" allowBlank="1" showErrorMessage="1" errorTitle="Invalid Selection" error="Select from list." sqref="D378">
      <formula1>'ReferenceData'!$AO$1:$AO$3</formula1>
    </dataValidation>
    <dataValidation type="list" allowBlank="1" showErrorMessage="1" errorTitle="Invalid Selection" error="Select from list." sqref="D379">
      <formula1>'ReferenceData'!$AQ$1:$AQ$3</formula1>
    </dataValidation>
    <dataValidation type="list" allowBlank="1" showErrorMessage="1" errorTitle="Invalid Selection" error="Select from list." sqref="D380">
      <formula1>'ReferenceData'!$AS$1:$AS$3</formula1>
    </dataValidation>
    <dataValidation type="list" allowBlank="1" showErrorMessage="1" errorTitle="Invalid Selection" error="Select from list." sqref="D381">
      <formula1>'ReferenceData'!$AU$1:$AU$3</formula1>
    </dataValidation>
    <dataValidation type="list" allowBlank="1" showErrorMessage="1" errorTitle="Invalid Selection" error="Select from list." sqref="D382">
      <formula1>'ReferenceData'!$AW$1:$AW$3</formula1>
    </dataValidation>
    <dataValidation type="list" allowBlank="1" showErrorMessage="1" errorTitle="Invalid Selection" error="Select from list." sqref="D383">
      <formula1>'ReferenceData'!$AY$1:$AY$3</formula1>
    </dataValidation>
    <dataValidation type="list" allowBlank="1" showErrorMessage="1" errorTitle="Invalid Selection" error="Select from list." sqref="D384">
      <formula1>'ReferenceData'!$BA$1:$BA$3</formula1>
    </dataValidation>
    <dataValidation type="list" allowBlank="1" showErrorMessage="1" errorTitle="Invalid Selection" error="Select from list." sqref="D385">
      <formula1>'ReferenceData'!$BC$1:$BC$3</formula1>
    </dataValidation>
    <dataValidation type="list" allowBlank="1" showErrorMessage="1" errorTitle="Invalid Selection" error="Select from list." sqref="D386">
      <formula1>'ReferenceData'!$BE$1:$BE$3</formula1>
    </dataValidation>
    <dataValidation type="list" allowBlank="1" showErrorMessage="1" errorTitle="Invalid Selection" error="Select from list." sqref="D387">
      <formula1>'ReferenceData'!$BG$1:$BG$3</formula1>
    </dataValidation>
    <dataValidation type="list" allowBlank="1" showErrorMessage="1" errorTitle="Invalid Selection" error="Select from list." sqref="D388">
      <formula1>'ReferenceData'!$BI$1:$BI$3</formula1>
    </dataValidation>
    <dataValidation type="list" allowBlank="1" showErrorMessage="1" errorTitle="Invalid Selection" error="Select from list." sqref="D389">
      <formula1>'ReferenceData'!$BK$1:$BK$3</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F195"/>
  <sheetFormatPr defaultRowHeight="15" outlineLevelRow="0" outlineLevelCol="0" x14ac:dyDescent="55"/>
  <sheetData>
    <row r="1" spans="1:84" x14ac:dyDescent="0.25">
      <c r="A1" t="s">
        <v>814</v>
      </c>
      <c r="B1" t="s">
        <v>814</v>
      </c>
      <c r="C1" t="s">
        <v>815</v>
      </c>
      <c r="D1" t="s">
        <v>815</v>
      </c>
      <c r="E1" t="s">
        <v>816</v>
      </c>
      <c r="F1" t="s">
        <v>817</v>
      </c>
      <c r="G1" t="s">
        <v>816</v>
      </c>
      <c r="H1" t="s">
        <v>817</v>
      </c>
      <c r="I1" t="s">
        <v>818</v>
      </c>
      <c r="J1" t="s">
        <v>38</v>
      </c>
      <c r="K1" t="s">
        <v>819</v>
      </c>
      <c r="L1" t="s">
        <v>820</v>
      </c>
      <c r="M1" t="s">
        <v>816</v>
      </c>
      <c r="N1" t="s">
        <v>817</v>
      </c>
      <c r="O1" t="s">
        <v>816</v>
      </c>
      <c r="P1" t="s">
        <v>817</v>
      </c>
      <c r="Q1" t="s">
        <v>816</v>
      </c>
      <c r="R1" t="s">
        <v>817</v>
      </c>
      <c r="S1" t="s">
        <v>821</v>
      </c>
      <c r="T1" t="s">
        <v>817</v>
      </c>
      <c r="U1" t="s">
        <v>816</v>
      </c>
      <c r="V1" t="s">
        <v>817</v>
      </c>
      <c r="W1" t="s">
        <v>816</v>
      </c>
      <c r="X1" t="s">
        <v>817</v>
      </c>
      <c r="Y1" t="s">
        <v>816</v>
      </c>
      <c r="Z1" t="s">
        <v>817</v>
      </c>
      <c r="AA1" t="s">
        <v>816</v>
      </c>
      <c r="AB1" t="s">
        <v>817</v>
      </c>
      <c r="AC1" t="s">
        <v>822</v>
      </c>
      <c r="AD1" t="s">
        <v>823</v>
      </c>
      <c r="AE1" t="s">
        <v>824</v>
      </c>
      <c r="AF1" t="s">
        <v>825</v>
      </c>
      <c r="AG1" t="s">
        <v>816</v>
      </c>
      <c r="AH1" t="s">
        <v>817</v>
      </c>
      <c r="AI1" t="s">
        <v>816</v>
      </c>
      <c r="AJ1" t="s">
        <v>817</v>
      </c>
      <c r="AK1" t="s">
        <v>826</v>
      </c>
      <c r="AL1" t="s">
        <v>827</v>
      </c>
      <c r="AM1" t="s">
        <v>816</v>
      </c>
      <c r="AN1" t="s">
        <v>817</v>
      </c>
      <c r="AO1" t="s">
        <v>816</v>
      </c>
      <c r="AP1" t="s">
        <v>817</v>
      </c>
      <c r="AQ1" t="s">
        <v>816</v>
      </c>
      <c r="AR1" t="s">
        <v>817</v>
      </c>
      <c r="AS1" t="s">
        <v>816</v>
      </c>
      <c r="AT1" t="s">
        <v>817</v>
      </c>
      <c r="AU1" t="s">
        <v>816</v>
      </c>
      <c r="AV1" t="s">
        <v>817</v>
      </c>
      <c r="AW1" t="s">
        <v>816</v>
      </c>
      <c r="AX1" t="s">
        <v>817</v>
      </c>
      <c r="AY1" t="s">
        <v>816</v>
      </c>
      <c r="AZ1" t="s">
        <v>817</v>
      </c>
      <c r="BA1" t="s">
        <v>816</v>
      </c>
      <c r="BB1" t="s">
        <v>817</v>
      </c>
      <c r="BC1" t="s">
        <v>816</v>
      </c>
      <c r="BD1" t="s">
        <v>817</v>
      </c>
      <c r="BE1" t="s">
        <v>816</v>
      </c>
      <c r="BF1" t="s">
        <v>817</v>
      </c>
      <c r="BG1" t="s">
        <v>816</v>
      </c>
      <c r="BH1" t="s">
        <v>817</v>
      </c>
      <c r="BI1" t="s">
        <v>816</v>
      </c>
      <c r="BJ1" t="s">
        <v>817</v>
      </c>
      <c r="BK1" t="s">
        <v>816</v>
      </c>
      <c r="BL1" t="s">
        <v>817</v>
      </c>
      <c r="BM1" t="s">
        <v>828</v>
      </c>
      <c r="BN1" t="s">
        <v>829</v>
      </c>
      <c r="BO1" t="s">
        <v>816</v>
      </c>
      <c r="BP1" t="s">
        <v>817</v>
      </c>
      <c r="BQ1" t="s">
        <v>816</v>
      </c>
      <c r="BR1" t="s">
        <v>817</v>
      </c>
      <c r="BS1" t="s">
        <v>816</v>
      </c>
      <c r="BT1" t="s">
        <v>817</v>
      </c>
      <c r="BU1" t="s">
        <v>830</v>
      </c>
      <c r="BV1" t="s">
        <v>831</v>
      </c>
      <c r="BW1" t="s">
        <v>832</v>
      </c>
      <c r="BX1" t="s">
        <v>833</v>
      </c>
      <c r="BY1" t="s">
        <v>834</v>
      </c>
      <c r="BZ1" t="s">
        <v>835</v>
      </c>
      <c r="CA1" t="s">
        <v>816</v>
      </c>
      <c r="CB1" t="s">
        <v>817</v>
      </c>
      <c r="CC1" t="s">
        <v>816</v>
      </c>
      <c r="CD1" t="s">
        <v>817</v>
      </c>
      <c r="CE1" t="s">
        <v>816</v>
      </c>
      <c r="CF1" t="s">
        <v>817</v>
      </c>
    </row>
    <row r="2" spans="1:84" x14ac:dyDescent="0.25">
      <c r="A2" t="s">
        <v>836</v>
      </c>
      <c r="B2" t="s">
        <v>836</v>
      </c>
      <c r="C2" t="s">
        <v>837</v>
      </c>
      <c r="D2" t="s">
        <v>837</v>
      </c>
      <c r="E2" t="s">
        <v>135</v>
      </c>
      <c r="F2" t="s">
        <v>838</v>
      </c>
      <c r="G2" t="s">
        <v>135</v>
      </c>
      <c r="H2" t="s">
        <v>838</v>
      </c>
      <c r="I2" t="s">
        <v>839</v>
      </c>
      <c r="J2" t="s">
        <v>40</v>
      </c>
      <c r="K2" t="s">
        <v>840</v>
      </c>
      <c r="L2" t="s">
        <v>841</v>
      </c>
      <c r="M2" t="s">
        <v>135</v>
      </c>
      <c r="N2" t="s">
        <v>838</v>
      </c>
      <c r="O2" t="s">
        <v>135</v>
      </c>
      <c r="P2" t="s">
        <v>838</v>
      </c>
      <c r="Q2" t="s">
        <v>842</v>
      </c>
      <c r="R2" t="s">
        <v>843</v>
      </c>
      <c r="S2" t="s">
        <v>844</v>
      </c>
      <c r="T2" t="s">
        <v>845</v>
      </c>
      <c r="U2" t="s">
        <v>135</v>
      </c>
      <c r="V2" t="s">
        <v>838</v>
      </c>
      <c r="W2" t="s">
        <v>846</v>
      </c>
      <c r="X2" t="s">
        <v>843</v>
      </c>
      <c r="Y2" t="s">
        <v>135</v>
      </c>
      <c r="Z2" t="s">
        <v>838</v>
      </c>
      <c r="AA2" t="s">
        <v>847</v>
      </c>
      <c r="AB2" t="s">
        <v>848</v>
      </c>
      <c r="AC2" t="s">
        <v>849</v>
      </c>
      <c r="AD2" t="s">
        <v>850</v>
      </c>
      <c r="AE2" t="s">
        <v>851</v>
      </c>
      <c r="AF2" t="s">
        <v>852</v>
      </c>
      <c r="AG2" t="s">
        <v>853</v>
      </c>
      <c r="AH2" t="s">
        <v>848</v>
      </c>
      <c r="AI2" t="s">
        <v>854</v>
      </c>
      <c r="AJ2" t="s">
        <v>848</v>
      </c>
      <c r="AK2" t="s">
        <v>855</v>
      </c>
      <c r="AL2" t="s">
        <v>856</v>
      </c>
      <c r="AM2" t="s">
        <v>857</v>
      </c>
      <c r="AN2" t="s">
        <v>848</v>
      </c>
      <c r="AO2" t="s">
        <v>857</v>
      </c>
      <c r="AP2" t="s">
        <v>848</v>
      </c>
      <c r="AQ2" t="s">
        <v>857</v>
      </c>
      <c r="AR2" t="s">
        <v>848</v>
      </c>
      <c r="AS2" t="s">
        <v>857</v>
      </c>
      <c r="AT2" t="s">
        <v>848</v>
      </c>
      <c r="AU2" t="s">
        <v>857</v>
      </c>
      <c r="AV2" t="s">
        <v>848</v>
      </c>
      <c r="AW2" t="s">
        <v>857</v>
      </c>
      <c r="AX2" t="s">
        <v>848</v>
      </c>
      <c r="AY2" t="s">
        <v>857</v>
      </c>
      <c r="AZ2" t="s">
        <v>848</v>
      </c>
      <c r="BA2" t="s">
        <v>857</v>
      </c>
      <c r="BB2" t="s">
        <v>848</v>
      </c>
      <c r="BC2" t="s">
        <v>857</v>
      </c>
      <c r="BD2" t="s">
        <v>848</v>
      </c>
      <c r="BE2" t="s">
        <v>857</v>
      </c>
      <c r="BF2" t="s">
        <v>848</v>
      </c>
      <c r="BG2" t="s">
        <v>857</v>
      </c>
      <c r="BH2" t="s">
        <v>848</v>
      </c>
      <c r="BI2" t="s">
        <v>857</v>
      </c>
      <c r="BJ2" t="s">
        <v>848</v>
      </c>
      <c r="BK2" t="s">
        <v>857</v>
      </c>
      <c r="BL2" t="s">
        <v>848</v>
      </c>
      <c r="BM2" t="s">
        <v>858</v>
      </c>
      <c r="BN2" t="s">
        <v>859</v>
      </c>
      <c r="BO2" t="s">
        <v>135</v>
      </c>
      <c r="BP2" t="s">
        <v>838</v>
      </c>
      <c r="BQ2" t="s">
        <v>135</v>
      </c>
      <c r="BR2" t="s">
        <v>838</v>
      </c>
      <c r="BS2" t="s">
        <v>135</v>
      </c>
      <c r="BT2" t="s">
        <v>838</v>
      </c>
      <c r="BU2" t="s">
        <v>860</v>
      </c>
      <c r="BV2" t="s">
        <v>861</v>
      </c>
      <c r="BW2" t="s">
        <v>862</v>
      </c>
      <c r="BX2" t="s">
        <v>863</v>
      </c>
      <c r="BY2" t="s">
        <v>864</v>
      </c>
      <c r="BZ2" t="s">
        <v>865</v>
      </c>
      <c r="CA2" t="s">
        <v>135</v>
      </c>
      <c r="CB2" t="s">
        <v>838</v>
      </c>
      <c r="CC2" t="s">
        <v>135</v>
      </c>
      <c r="CD2" t="s">
        <v>838</v>
      </c>
      <c r="CE2" t="s">
        <v>135</v>
      </c>
      <c r="CF2" t="s">
        <v>838</v>
      </c>
    </row>
    <row r="3" spans="1:84" x14ac:dyDescent="0.25">
      <c r="A3" t="s">
        <v>866</v>
      </c>
      <c r="B3" t="s">
        <v>866</v>
      </c>
      <c r="C3" t="s">
        <v>867</v>
      </c>
      <c r="D3" t="s">
        <v>867</v>
      </c>
      <c r="I3" t="s">
        <v>868</v>
      </c>
      <c r="J3" t="s">
        <v>42</v>
      </c>
      <c r="K3" t="s">
        <v>869</v>
      </c>
      <c r="L3" t="s">
        <v>870</v>
      </c>
      <c r="Q3" t="s">
        <v>135</v>
      </c>
      <c r="R3" t="s">
        <v>838</v>
      </c>
      <c r="S3" t="s">
        <v>871</v>
      </c>
      <c r="T3" t="s">
        <v>838</v>
      </c>
      <c r="AA3" t="s">
        <v>846</v>
      </c>
      <c r="AB3" t="s">
        <v>843</v>
      </c>
      <c r="AC3" t="s">
        <v>872</v>
      </c>
      <c r="AD3" t="s">
        <v>873</v>
      </c>
      <c r="AE3" t="s">
        <v>874</v>
      </c>
      <c r="AF3" t="s">
        <v>875</v>
      </c>
      <c r="AG3" t="s">
        <v>846</v>
      </c>
      <c r="AH3" t="s">
        <v>843</v>
      </c>
      <c r="AI3" t="s">
        <v>846</v>
      </c>
      <c r="AJ3" t="s">
        <v>843</v>
      </c>
      <c r="AK3" t="s">
        <v>135</v>
      </c>
      <c r="AL3" t="s">
        <v>838</v>
      </c>
      <c r="AM3" t="s">
        <v>846</v>
      </c>
      <c r="AN3" t="s">
        <v>843</v>
      </c>
      <c r="AO3" t="s">
        <v>846</v>
      </c>
      <c r="AP3" t="s">
        <v>843</v>
      </c>
      <c r="AQ3" t="s">
        <v>846</v>
      </c>
      <c r="AR3" t="s">
        <v>843</v>
      </c>
      <c r="AS3" t="s">
        <v>846</v>
      </c>
      <c r="AT3" t="s">
        <v>843</v>
      </c>
      <c r="AU3" t="s">
        <v>846</v>
      </c>
      <c r="AV3" t="s">
        <v>843</v>
      </c>
      <c r="AW3" t="s">
        <v>846</v>
      </c>
      <c r="AX3" t="s">
        <v>843</v>
      </c>
      <c r="AY3" t="s">
        <v>846</v>
      </c>
      <c r="AZ3" t="s">
        <v>843</v>
      </c>
      <c r="BA3" t="s">
        <v>846</v>
      </c>
      <c r="BB3" t="s">
        <v>843</v>
      </c>
      <c r="BC3" t="s">
        <v>846</v>
      </c>
      <c r="BD3" t="s">
        <v>843</v>
      </c>
      <c r="BE3" t="s">
        <v>846</v>
      </c>
      <c r="BF3" t="s">
        <v>843</v>
      </c>
      <c r="BG3" t="s">
        <v>846</v>
      </c>
      <c r="BH3" t="s">
        <v>843</v>
      </c>
      <c r="BI3" t="s">
        <v>846</v>
      </c>
      <c r="BJ3" t="s">
        <v>843</v>
      </c>
      <c r="BK3" t="s">
        <v>846</v>
      </c>
      <c r="BL3" t="s">
        <v>843</v>
      </c>
      <c r="BM3" t="s">
        <v>876</v>
      </c>
      <c r="BN3" t="s">
        <v>877</v>
      </c>
      <c r="BQ3" t="s">
        <v>878</v>
      </c>
      <c r="BR3" t="s">
        <v>879</v>
      </c>
      <c r="BS3" t="s">
        <v>880</v>
      </c>
      <c r="BT3" t="s">
        <v>881</v>
      </c>
      <c r="BU3" t="s">
        <v>135</v>
      </c>
      <c r="BV3" t="s">
        <v>838</v>
      </c>
      <c r="BW3" t="s">
        <v>882</v>
      </c>
      <c r="BX3" t="s">
        <v>883</v>
      </c>
      <c r="BY3" t="s">
        <v>884</v>
      </c>
      <c r="BZ3" t="s">
        <v>885</v>
      </c>
      <c r="CE3" t="s">
        <v>886</v>
      </c>
      <c r="CF3" t="s">
        <v>887</v>
      </c>
    </row>
    <row r="4" spans="1:78" x14ac:dyDescent="0.25">
      <c r="A4" t="s">
        <v>888</v>
      </c>
      <c r="B4" t="s">
        <v>888</v>
      </c>
      <c r="C4" t="s">
        <v>889</v>
      </c>
      <c r="D4" t="s">
        <v>889</v>
      </c>
      <c r="I4" t="s">
        <v>890</v>
      </c>
      <c r="J4" t="s">
        <v>44</v>
      </c>
      <c r="K4" t="s">
        <v>891</v>
      </c>
      <c r="L4" t="s">
        <v>892</v>
      </c>
      <c r="AC4" t="s">
        <v>893</v>
      </c>
      <c r="AD4" t="s">
        <v>894</v>
      </c>
      <c r="AE4" t="s">
        <v>878</v>
      </c>
      <c r="AF4" t="s">
        <v>879</v>
      </c>
      <c r="AK4" t="s">
        <v>880</v>
      </c>
      <c r="AL4" t="s">
        <v>881</v>
      </c>
      <c r="BW4" t="s">
        <v>886</v>
      </c>
      <c r="BX4" t="s">
        <v>887</v>
      </c>
      <c r="BY4" t="s">
        <v>886</v>
      </c>
      <c r="BZ4" t="s">
        <v>887</v>
      </c>
    </row>
    <row r="5" spans="1:76" x14ac:dyDescent="0.25">
      <c r="A5" t="s">
        <v>895</v>
      </c>
      <c r="B5" t="s">
        <v>896</v>
      </c>
      <c r="C5" t="s">
        <v>897</v>
      </c>
      <c r="D5" t="s">
        <v>897</v>
      </c>
      <c r="I5" t="s">
        <v>898</v>
      </c>
      <c r="J5" t="s">
        <v>46</v>
      </c>
      <c r="K5" t="s">
        <v>899</v>
      </c>
      <c r="L5" t="s">
        <v>900</v>
      </c>
      <c r="AC5" t="s">
        <v>886</v>
      </c>
      <c r="AD5" t="s">
        <v>887</v>
      </c>
      <c r="AE5" t="s">
        <v>901</v>
      </c>
      <c r="AF5" t="s">
        <v>902</v>
      </c>
      <c r="BW5" t="s">
        <v>903</v>
      </c>
      <c r="BX5" t="s">
        <v>881</v>
      </c>
    </row>
    <row r="6" spans="3:12" x14ac:dyDescent="0.25">
      <c r="C6" t="s">
        <v>904</v>
      </c>
      <c r="D6" t="s">
        <v>904</v>
      </c>
      <c r="I6" t="s">
        <v>905</v>
      </c>
      <c r="J6" t="s">
        <v>48</v>
      </c>
      <c r="K6" t="s">
        <v>906</v>
      </c>
      <c r="L6" t="s">
        <v>907</v>
      </c>
    </row>
    <row r="7" spans="3:12" x14ac:dyDescent="0.25">
      <c r="C7" t="s">
        <v>908</v>
      </c>
      <c r="D7" t="s">
        <v>908</v>
      </c>
      <c r="I7" t="s">
        <v>909</v>
      </c>
      <c r="J7" t="s">
        <v>50</v>
      </c>
      <c r="K7" t="s">
        <v>910</v>
      </c>
      <c r="L7" t="s">
        <v>911</v>
      </c>
    </row>
    <row r="8" spans="3:12" x14ac:dyDescent="0.25">
      <c r="C8" t="s">
        <v>912</v>
      </c>
      <c r="D8" t="s">
        <v>912</v>
      </c>
      <c r="I8" t="s">
        <v>913</v>
      </c>
      <c r="J8" t="s">
        <v>52</v>
      </c>
      <c r="K8" t="s">
        <v>914</v>
      </c>
      <c r="L8" t="s">
        <v>915</v>
      </c>
    </row>
    <row r="9" spans="3:10" x14ac:dyDescent="0.25">
      <c r="C9" t="s">
        <v>916</v>
      </c>
      <c r="D9" t="s">
        <v>916</v>
      </c>
      <c r="I9" t="s">
        <v>917</v>
      </c>
      <c r="J9" t="s">
        <v>54</v>
      </c>
    </row>
    <row r="10" spans="3:10" x14ac:dyDescent="0.25">
      <c r="C10" t="s">
        <v>918</v>
      </c>
      <c r="D10" t="s">
        <v>918</v>
      </c>
      <c r="I10" t="s">
        <v>919</v>
      </c>
      <c r="J10" t="s">
        <v>56</v>
      </c>
    </row>
    <row r="11" spans="3:10" x14ac:dyDescent="0.25">
      <c r="C11" t="s">
        <v>920</v>
      </c>
      <c r="D11" t="s">
        <v>920</v>
      </c>
      <c r="I11" t="s">
        <v>921</v>
      </c>
      <c r="J11" t="s">
        <v>58</v>
      </c>
    </row>
    <row r="12" spans="3:10" x14ac:dyDescent="0.25">
      <c r="C12" t="s">
        <v>922</v>
      </c>
      <c r="D12" t="s">
        <v>922</v>
      </c>
      <c r="I12" t="s">
        <v>923</v>
      </c>
      <c r="J12" t="s">
        <v>60</v>
      </c>
    </row>
    <row r="13" spans="3:10" x14ac:dyDescent="0.25">
      <c r="C13" t="s">
        <v>924</v>
      </c>
      <c r="D13" t="s">
        <v>924</v>
      </c>
      <c r="I13" t="s">
        <v>925</v>
      </c>
      <c r="J13" t="s">
        <v>62</v>
      </c>
    </row>
    <row r="14" spans="3:4" x14ac:dyDescent="0.25">
      <c r="C14" t="s">
        <v>926</v>
      </c>
      <c r="D14" t="s">
        <v>926</v>
      </c>
    </row>
    <row r="15" spans="3:4" x14ac:dyDescent="0.25">
      <c r="C15" t="s">
        <v>927</v>
      </c>
      <c r="D15" t="s">
        <v>927</v>
      </c>
    </row>
    <row r="16" spans="3:4" x14ac:dyDescent="0.25">
      <c r="C16" t="s">
        <v>928</v>
      </c>
      <c r="D16" t="s">
        <v>928</v>
      </c>
    </row>
    <row r="17" spans="3:4" x14ac:dyDescent="0.25">
      <c r="C17" t="s">
        <v>929</v>
      </c>
      <c r="D17" t="s">
        <v>929</v>
      </c>
    </row>
    <row r="18" spans="3:4" x14ac:dyDescent="0.25">
      <c r="C18" t="s">
        <v>930</v>
      </c>
      <c r="D18" t="s">
        <v>930</v>
      </c>
    </row>
    <row r="19" spans="3:4" x14ac:dyDescent="0.25">
      <c r="C19" t="s">
        <v>931</v>
      </c>
      <c r="D19" t="s">
        <v>931</v>
      </c>
    </row>
    <row r="20" spans="3:4" x14ac:dyDescent="0.25">
      <c r="C20" t="s">
        <v>932</v>
      </c>
      <c r="D20" t="s">
        <v>932</v>
      </c>
    </row>
    <row r="21" spans="3:4" x14ac:dyDescent="0.25">
      <c r="C21" t="s">
        <v>933</v>
      </c>
      <c r="D21" t="s">
        <v>933</v>
      </c>
    </row>
    <row r="22" spans="3:4" x14ac:dyDescent="0.25">
      <c r="C22" t="s">
        <v>934</v>
      </c>
      <c r="D22" t="s">
        <v>934</v>
      </c>
    </row>
    <row r="23" spans="3:4" x14ac:dyDescent="0.25">
      <c r="C23" t="s">
        <v>935</v>
      </c>
      <c r="D23" t="s">
        <v>935</v>
      </c>
    </row>
    <row r="24" spans="3:4" x14ac:dyDescent="0.25">
      <c r="C24" t="s">
        <v>936</v>
      </c>
      <c r="D24" t="s">
        <v>936</v>
      </c>
    </row>
    <row r="25" spans="3:4" x14ac:dyDescent="0.25">
      <c r="C25" t="s">
        <v>937</v>
      </c>
      <c r="D25" t="s">
        <v>937</v>
      </c>
    </row>
    <row r="26" spans="3:4" x14ac:dyDescent="0.25">
      <c r="C26" t="s">
        <v>938</v>
      </c>
      <c r="D26" t="s">
        <v>938</v>
      </c>
    </row>
    <row r="27" spans="3:4" x14ac:dyDescent="0.25">
      <c r="C27" t="s">
        <v>939</v>
      </c>
      <c r="D27" t="s">
        <v>939</v>
      </c>
    </row>
    <row r="28" spans="3:4" x14ac:dyDescent="0.25">
      <c r="C28" t="s">
        <v>940</v>
      </c>
      <c r="D28" t="s">
        <v>940</v>
      </c>
    </row>
    <row r="29" spans="3:4" x14ac:dyDescent="0.25">
      <c r="C29" t="s">
        <v>941</v>
      </c>
      <c r="D29" t="s">
        <v>941</v>
      </c>
    </row>
    <row r="30" spans="3:4" x14ac:dyDescent="0.25">
      <c r="C30" t="s">
        <v>942</v>
      </c>
      <c r="D30" t="s">
        <v>942</v>
      </c>
    </row>
    <row r="31" spans="3:4" x14ac:dyDescent="0.25">
      <c r="C31" t="s">
        <v>943</v>
      </c>
      <c r="D31" t="s">
        <v>943</v>
      </c>
    </row>
    <row r="32" spans="3:4" x14ac:dyDescent="0.25">
      <c r="C32" t="s">
        <v>944</v>
      </c>
      <c r="D32" t="s">
        <v>944</v>
      </c>
    </row>
    <row r="33" spans="3:4" x14ac:dyDescent="0.25">
      <c r="C33" t="s">
        <v>945</v>
      </c>
      <c r="D33" t="s">
        <v>945</v>
      </c>
    </row>
    <row r="34" spans="3:4" x14ac:dyDescent="0.25">
      <c r="C34" t="s">
        <v>946</v>
      </c>
      <c r="D34" t="s">
        <v>946</v>
      </c>
    </row>
    <row r="35" spans="3:4" x14ac:dyDescent="0.25">
      <c r="C35" t="s">
        <v>947</v>
      </c>
      <c r="D35" t="s">
        <v>947</v>
      </c>
    </row>
    <row r="36" spans="3:4" x14ac:dyDescent="0.25">
      <c r="C36" t="s">
        <v>948</v>
      </c>
      <c r="D36" t="s">
        <v>948</v>
      </c>
    </row>
    <row r="37" spans="3:4" x14ac:dyDescent="0.25">
      <c r="C37" t="s">
        <v>949</v>
      </c>
      <c r="D37" t="s">
        <v>949</v>
      </c>
    </row>
    <row r="38" spans="3:4" x14ac:dyDescent="0.25">
      <c r="C38" t="s">
        <v>950</v>
      </c>
      <c r="D38" t="s">
        <v>950</v>
      </c>
    </row>
    <row r="39" spans="3:4" x14ac:dyDescent="0.25">
      <c r="C39" t="s">
        <v>951</v>
      </c>
      <c r="D39" t="s">
        <v>951</v>
      </c>
    </row>
    <row r="40" spans="3:4" x14ac:dyDescent="0.25">
      <c r="C40" t="s">
        <v>952</v>
      </c>
      <c r="D40" t="s">
        <v>952</v>
      </c>
    </row>
    <row r="41" spans="3:4" x14ac:dyDescent="0.25">
      <c r="C41" t="s">
        <v>953</v>
      </c>
      <c r="D41" t="s">
        <v>953</v>
      </c>
    </row>
    <row r="42" spans="3:4" x14ac:dyDescent="0.25">
      <c r="C42" t="s">
        <v>954</v>
      </c>
      <c r="D42" t="s">
        <v>954</v>
      </c>
    </row>
    <row r="43" spans="3:4" x14ac:dyDescent="0.25">
      <c r="C43" t="s">
        <v>955</v>
      </c>
      <c r="D43" t="s">
        <v>955</v>
      </c>
    </row>
    <row r="44" spans="3:4" x14ac:dyDescent="0.25">
      <c r="C44" t="s">
        <v>956</v>
      </c>
      <c r="D44" t="s">
        <v>956</v>
      </c>
    </row>
    <row r="45" spans="3:4" x14ac:dyDescent="0.25">
      <c r="C45" t="s">
        <v>957</v>
      </c>
      <c r="D45" t="s">
        <v>957</v>
      </c>
    </row>
    <row r="46" spans="3:4" x14ac:dyDescent="0.25">
      <c r="C46" t="s">
        <v>958</v>
      </c>
      <c r="D46" t="s">
        <v>958</v>
      </c>
    </row>
    <row r="47" spans="3:4" x14ac:dyDescent="0.25">
      <c r="C47" t="s">
        <v>959</v>
      </c>
      <c r="D47" t="s">
        <v>959</v>
      </c>
    </row>
    <row r="48" spans="3:4" x14ac:dyDescent="0.25">
      <c r="C48" t="s">
        <v>960</v>
      </c>
      <c r="D48" t="s">
        <v>960</v>
      </c>
    </row>
    <row r="49" spans="3:4" x14ac:dyDescent="0.25">
      <c r="C49" t="s">
        <v>961</v>
      </c>
      <c r="D49" t="s">
        <v>961</v>
      </c>
    </row>
    <row r="50" spans="3:4" x14ac:dyDescent="0.25">
      <c r="C50" t="s">
        <v>962</v>
      </c>
      <c r="D50" t="s">
        <v>962</v>
      </c>
    </row>
    <row r="51" spans="3:4" x14ac:dyDescent="0.25">
      <c r="C51" t="s">
        <v>963</v>
      </c>
      <c r="D51" t="s">
        <v>963</v>
      </c>
    </row>
    <row r="52" spans="3:4" x14ac:dyDescent="0.25">
      <c r="C52" t="s">
        <v>964</v>
      </c>
      <c r="D52" t="s">
        <v>964</v>
      </c>
    </row>
    <row r="53" spans="3:4" x14ac:dyDescent="0.25">
      <c r="C53" t="s">
        <v>965</v>
      </c>
      <c r="D53" t="s">
        <v>965</v>
      </c>
    </row>
    <row r="54" spans="3:4" x14ac:dyDescent="0.25">
      <c r="C54" t="s">
        <v>966</v>
      </c>
      <c r="D54" t="s">
        <v>966</v>
      </c>
    </row>
    <row r="55" spans="3:4" x14ac:dyDescent="0.25">
      <c r="C55" t="s">
        <v>967</v>
      </c>
      <c r="D55" t="s">
        <v>967</v>
      </c>
    </row>
    <row r="56" spans="3:4" x14ac:dyDescent="0.25">
      <c r="C56" t="s">
        <v>968</v>
      </c>
      <c r="D56" t="s">
        <v>968</v>
      </c>
    </row>
    <row r="57" spans="3:4" x14ac:dyDescent="0.25">
      <c r="C57" t="s">
        <v>969</v>
      </c>
      <c r="D57" t="s">
        <v>969</v>
      </c>
    </row>
    <row r="58" spans="3:4" x14ac:dyDescent="0.25">
      <c r="C58" t="s">
        <v>970</v>
      </c>
      <c r="D58" t="s">
        <v>970</v>
      </c>
    </row>
    <row r="59" spans="3:4" x14ac:dyDescent="0.25">
      <c r="C59" t="s">
        <v>971</v>
      </c>
      <c r="D59" t="s">
        <v>971</v>
      </c>
    </row>
    <row r="60" spans="3:4" x14ac:dyDescent="0.25">
      <c r="C60" t="s">
        <v>972</v>
      </c>
      <c r="D60" t="s">
        <v>972</v>
      </c>
    </row>
    <row r="61" spans="3:4" x14ac:dyDescent="0.25">
      <c r="C61" t="s">
        <v>973</v>
      </c>
      <c r="D61" t="s">
        <v>973</v>
      </c>
    </row>
    <row r="62" spans="3:4" x14ac:dyDescent="0.25">
      <c r="C62" t="s">
        <v>974</v>
      </c>
      <c r="D62" t="s">
        <v>974</v>
      </c>
    </row>
    <row r="63" spans="3:4" x14ac:dyDescent="0.25">
      <c r="C63" t="s">
        <v>975</v>
      </c>
      <c r="D63" t="s">
        <v>975</v>
      </c>
    </row>
    <row r="64" spans="3:4" x14ac:dyDescent="0.25">
      <c r="C64" t="s">
        <v>976</v>
      </c>
      <c r="D64" t="s">
        <v>976</v>
      </c>
    </row>
    <row r="65" spans="3:4" x14ac:dyDescent="0.25">
      <c r="C65" t="s">
        <v>977</v>
      </c>
      <c r="D65" t="s">
        <v>977</v>
      </c>
    </row>
    <row r="66" spans="3:4" x14ac:dyDescent="0.25">
      <c r="C66" t="s">
        <v>978</v>
      </c>
      <c r="D66" t="s">
        <v>978</v>
      </c>
    </row>
    <row r="67" spans="3:4" x14ac:dyDescent="0.25">
      <c r="C67" t="s">
        <v>979</v>
      </c>
      <c r="D67" t="s">
        <v>979</v>
      </c>
    </row>
    <row r="68" spans="3:4" x14ac:dyDescent="0.25">
      <c r="C68" t="s">
        <v>980</v>
      </c>
      <c r="D68" t="s">
        <v>980</v>
      </c>
    </row>
    <row r="69" spans="3:4" x14ac:dyDescent="0.25">
      <c r="C69" t="s">
        <v>981</v>
      </c>
      <c r="D69" t="s">
        <v>981</v>
      </c>
    </row>
    <row r="70" spans="3:4" x14ac:dyDescent="0.25">
      <c r="C70" t="s">
        <v>982</v>
      </c>
      <c r="D70" t="s">
        <v>982</v>
      </c>
    </row>
    <row r="71" spans="3:4" x14ac:dyDescent="0.25">
      <c r="C71" t="s">
        <v>983</v>
      </c>
      <c r="D71" t="s">
        <v>983</v>
      </c>
    </row>
    <row r="72" spans="3:4" x14ac:dyDescent="0.25">
      <c r="C72" t="s">
        <v>984</v>
      </c>
      <c r="D72" t="s">
        <v>984</v>
      </c>
    </row>
    <row r="73" spans="3:4" x14ac:dyDescent="0.25">
      <c r="C73" t="s">
        <v>985</v>
      </c>
      <c r="D73" t="s">
        <v>985</v>
      </c>
    </row>
    <row r="74" spans="3:4" x14ac:dyDescent="0.25">
      <c r="C74" t="s">
        <v>986</v>
      </c>
      <c r="D74" t="s">
        <v>986</v>
      </c>
    </row>
    <row r="75" spans="3:4" x14ac:dyDescent="0.25">
      <c r="C75" t="s">
        <v>987</v>
      </c>
      <c r="D75" t="s">
        <v>987</v>
      </c>
    </row>
    <row r="76" spans="3:4" x14ac:dyDescent="0.25">
      <c r="C76" t="s">
        <v>988</v>
      </c>
      <c r="D76" t="s">
        <v>988</v>
      </c>
    </row>
    <row r="77" spans="3:4" x14ac:dyDescent="0.25">
      <c r="C77" t="s">
        <v>989</v>
      </c>
      <c r="D77" t="s">
        <v>989</v>
      </c>
    </row>
    <row r="78" spans="3:4" x14ac:dyDescent="0.25">
      <c r="C78" t="s">
        <v>990</v>
      </c>
      <c r="D78" t="s">
        <v>990</v>
      </c>
    </row>
    <row r="79" spans="3:4" x14ac:dyDescent="0.25">
      <c r="C79" t="s">
        <v>991</v>
      </c>
      <c r="D79" t="s">
        <v>991</v>
      </c>
    </row>
    <row r="80" spans="3:4" x14ac:dyDescent="0.25">
      <c r="C80" t="s">
        <v>992</v>
      </c>
      <c r="D80" t="s">
        <v>992</v>
      </c>
    </row>
    <row r="81" spans="3:4" x14ac:dyDescent="0.25">
      <c r="C81" t="s">
        <v>993</v>
      </c>
      <c r="D81" t="s">
        <v>993</v>
      </c>
    </row>
    <row r="82" spans="3:4" x14ac:dyDescent="0.25">
      <c r="C82" t="s">
        <v>994</v>
      </c>
      <c r="D82" t="s">
        <v>994</v>
      </c>
    </row>
    <row r="83" spans="3:4" x14ac:dyDescent="0.25">
      <c r="C83" t="s">
        <v>995</v>
      </c>
      <c r="D83" t="s">
        <v>995</v>
      </c>
    </row>
    <row r="84" spans="3:4" x14ac:dyDescent="0.25">
      <c r="C84" t="s">
        <v>996</v>
      </c>
      <c r="D84" t="s">
        <v>996</v>
      </c>
    </row>
    <row r="85" spans="3:4" x14ac:dyDescent="0.25">
      <c r="C85" t="s">
        <v>997</v>
      </c>
      <c r="D85" t="s">
        <v>997</v>
      </c>
    </row>
    <row r="86" spans="3:4" x14ac:dyDescent="0.25">
      <c r="C86" t="s">
        <v>998</v>
      </c>
      <c r="D86" t="s">
        <v>998</v>
      </c>
    </row>
    <row r="87" spans="3:4" x14ac:dyDescent="0.25">
      <c r="C87" t="s">
        <v>999</v>
      </c>
      <c r="D87" t="s">
        <v>999</v>
      </c>
    </row>
    <row r="88" spans="3:4" x14ac:dyDescent="0.25">
      <c r="C88" t="s">
        <v>1000</v>
      </c>
      <c r="D88" t="s">
        <v>1000</v>
      </c>
    </row>
    <row r="89" spans="3:4" x14ac:dyDescent="0.25">
      <c r="C89" t="s">
        <v>1001</v>
      </c>
      <c r="D89" t="s">
        <v>1001</v>
      </c>
    </row>
    <row r="90" spans="3:4" x14ac:dyDescent="0.25">
      <c r="C90" t="s">
        <v>1002</v>
      </c>
      <c r="D90" t="s">
        <v>1002</v>
      </c>
    </row>
    <row r="91" spans="3:4" x14ac:dyDescent="0.25">
      <c r="C91" t="s">
        <v>1003</v>
      </c>
      <c r="D91" t="s">
        <v>1003</v>
      </c>
    </row>
    <row r="92" spans="3:4" x14ac:dyDescent="0.25">
      <c r="C92" t="s">
        <v>1004</v>
      </c>
      <c r="D92" t="s">
        <v>1004</v>
      </c>
    </row>
    <row r="93" spans="3:4" x14ac:dyDescent="0.25">
      <c r="C93" t="s">
        <v>1005</v>
      </c>
      <c r="D93" t="s">
        <v>1005</v>
      </c>
    </row>
    <row r="94" spans="3:4" x14ac:dyDescent="0.25">
      <c r="C94" t="s">
        <v>1006</v>
      </c>
      <c r="D94" t="s">
        <v>1006</v>
      </c>
    </row>
    <row r="95" spans="3:4" x14ac:dyDescent="0.25">
      <c r="C95" t="s">
        <v>1007</v>
      </c>
      <c r="D95" t="s">
        <v>1007</v>
      </c>
    </row>
    <row r="96" spans="3:4" x14ac:dyDescent="0.25">
      <c r="C96" t="s">
        <v>1008</v>
      </c>
      <c r="D96" t="s">
        <v>1008</v>
      </c>
    </row>
    <row r="97" spans="3:4" x14ac:dyDescent="0.25">
      <c r="C97" t="s">
        <v>1009</v>
      </c>
      <c r="D97" t="s">
        <v>1009</v>
      </c>
    </row>
    <row r="98" spans="3:4" x14ac:dyDescent="0.25">
      <c r="C98" t="s">
        <v>1010</v>
      </c>
      <c r="D98" t="s">
        <v>1010</v>
      </c>
    </row>
    <row r="99" spans="3:4" x14ac:dyDescent="0.25">
      <c r="C99" t="s">
        <v>1011</v>
      </c>
      <c r="D99" t="s">
        <v>1011</v>
      </c>
    </row>
    <row r="100" spans="3:4" x14ac:dyDescent="0.25">
      <c r="C100" t="s">
        <v>1012</v>
      </c>
      <c r="D100" t="s">
        <v>1012</v>
      </c>
    </row>
    <row r="101" spans="3:4" x14ac:dyDescent="0.25">
      <c r="C101" t="s">
        <v>1013</v>
      </c>
      <c r="D101" t="s">
        <v>1013</v>
      </c>
    </row>
    <row r="102" spans="3:4" x14ac:dyDescent="0.25">
      <c r="C102" t="s">
        <v>1014</v>
      </c>
      <c r="D102" t="s">
        <v>1014</v>
      </c>
    </row>
    <row r="103" spans="3:4" x14ac:dyDescent="0.25">
      <c r="C103" t="s">
        <v>1015</v>
      </c>
      <c r="D103" t="s">
        <v>1015</v>
      </c>
    </row>
    <row r="104" spans="3:4" x14ac:dyDescent="0.25">
      <c r="C104" t="s">
        <v>1016</v>
      </c>
      <c r="D104" t="s">
        <v>1016</v>
      </c>
    </row>
    <row r="105" spans="3:4" x14ac:dyDescent="0.25">
      <c r="C105" t="s">
        <v>1017</v>
      </c>
      <c r="D105" t="s">
        <v>1017</v>
      </c>
    </row>
    <row r="106" spans="3:4" x14ac:dyDescent="0.25">
      <c r="C106" t="s">
        <v>1018</v>
      </c>
      <c r="D106" t="s">
        <v>1018</v>
      </c>
    </row>
    <row r="107" spans="3:4" x14ac:dyDescent="0.25">
      <c r="C107" t="s">
        <v>1019</v>
      </c>
      <c r="D107" t="s">
        <v>1019</v>
      </c>
    </row>
    <row r="108" spans="3:4" x14ac:dyDescent="0.25">
      <c r="C108" t="s">
        <v>1020</v>
      </c>
      <c r="D108" t="s">
        <v>1020</v>
      </c>
    </row>
    <row r="109" spans="3:4" x14ac:dyDescent="0.25">
      <c r="C109" t="s">
        <v>1021</v>
      </c>
      <c r="D109" t="s">
        <v>1021</v>
      </c>
    </row>
    <row r="110" spans="3:4" x14ac:dyDescent="0.25">
      <c r="C110" t="s">
        <v>1022</v>
      </c>
      <c r="D110" t="s">
        <v>1022</v>
      </c>
    </row>
    <row r="111" spans="3:4" x14ac:dyDescent="0.25">
      <c r="C111" t="s">
        <v>1023</v>
      </c>
      <c r="D111" t="s">
        <v>1023</v>
      </c>
    </row>
    <row r="112" spans="3:4" x14ac:dyDescent="0.25">
      <c r="C112" t="s">
        <v>1024</v>
      </c>
      <c r="D112" t="s">
        <v>1024</v>
      </c>
    </row>
    <row r="113" spans="3:4" x14ac:dyDescent="0.25">
      <c r="C113" t="s">
        <v>1025</v>
      </c>
      <c r="D113" t="s">
        <v>1025</v>
      </c>
    </row>
    <row r="114" spans="3:4" x14ac:dyDescent="0.25">
      <c r="C114" t="s">
        <v>1026</v>
      </c>
      <c r="D114" t="s">
        <v>1026</v>
      </c>
    </row>
    <row r="115" spans="3:4" x14ac:dyDescent="0.25">
      <c r="C115" t="s">
        <v>1027</v>
      </c>
      <c r="D115" t="s">
        <v>1027</v>
      </c>
    </row>
    <row r="116" spans="3:4" x14ac:dyDescent="0.25">
      <c r="C116" t="s">
        <v>1028</v>
      </c>
      <c r="D116" t="s">
        <v>1028</v>
      </c>
    </row>
    <row r="117" spans="3:4" x14ac:dyDescent="0.25">
      <c r="C117" t="s">
        <v>1029</v>
      </c>
      <c r="D117" t="s">
        <v>1029</v>
      </c>
    </row>
    <row r="118" spans="3:4" x14ac:dyDescent="0.25">
      <c r="C118" t="s">
        <v>1030</v>
      </c>
      <c r="D118" t="s">
        <v>1030</v>
      </c>
    </row>
    <row r="119" spans="3:4" x14ac:dyDescent="0.25">
      <c r="C119" t="s">
        <v>1031</v>
      </c>
      <c r="D119" t="s">
        <v>1031</v>
      </c>
    </row>
    <row r="120" spans="3:4" x14ac:dyDescent="0.25">
      <c r="C120" t="s">
        <v>1032</v>
      </c>
      <c r="D120" t="s">
        <v>1032</v>
      </c>
    </row>
    <row r="121" spans="3:4" x14ac:dyDescent="0.25">
      <c r="C121" t="s">
        <v>1033</v>
      </c>
      <c r="D121" t="s">
        <v>1033</v>
      </c>
    </row>
    <row r="122" spans="3:4" x14ac:dyDescent="0.25">
      <c r="C122" t="s">
        <v>1034</v>
      </c>
      <c r="D122" t="s">
        <v>1034</v>
      </c>
    </row>
    <row r="123" spans="3:4" x14ac:dyDescent="0.25">
      <c r="C123" t="s">
        <v>1035</v>
      </c>
      <c r="D123" t="s">
        <v>1035</v>
      </c>
    </row>
    <row r="124" spans="3:4" x14ac:dyDescent="0.25">
      <c r="C124" t="s">
        <v>1036</v>
      </c>
      <c r="D124" t="s">
        <v>1036</v>
      </c>
    </row>
    <row r="125" spans="3:4" x14ac:dyDescent="0.25">
      <c r="C125" t="s">
        <v>1037</v>
      </c>
      <c r="D125" t="s">
        <v>1037</v>
      </c>
    </row>
    <row r="126" spans="3:4" x14ac:dyDescent="0.25">
      <c r="C126" t="s">
        <v>1038</v>
      </c>
      <c r="D126" t="s">
        <v>1038</v>
      </c>
    </row>
    <row r="127" spans="3:4" x14ac:dyDescent="0.25">
      <c r="C127" t="s">
        <v>1039</v>
      </c>
      <c r="D127" t="s">
        <v>1039</v>
      </c>
    </row>
    <row r="128" spans="3:4" x14ac:dyDescent="0.25">
      <c r="C128" t="s">
        <v>1040</v>
      </c>
      <c r="D128" t="s">
        <v>1040</v>
      </c>
    </row>
    <row r="129" spans="3:4" x14ac:dyDescent="0.25">
      <c r="C129" t="s">
        <v>1041</v>
      </c>
      <c r="D129" t="s">
        <v>1041</v>
      </c>
    </row>
    <row r="130" spans="3:4" x14ac:dyDescent="0.25">
      <c r="C130" t="s">
        <v>1042</v>
      </c>
      <c r="D130" t="s">
        <v>1042</v>
      </c>
    </row>
    <row r="131" spans="3:4" x14ac:dyDescent="0.25">
      <c r="C131" t="s">
        <v>1043</v>
      </c>
      <c r="D131" t="s">
        <v>1043</v>
      </c>
    </row>
    <row r="132" spans="3:4" x14ac:dyDescent="0.25">
      <c r="C132" t="s">
        <v>1044</v>
      </c>
      <c r="D132" t="s">
        <v>1044</v>
      </c>
    </row>
    <row r="133" spans="3:4" x14ac:dyDescent="0.25">
      <c r="C133" t="s">
        <v>1045</v>
      </c>
      <c r="D133" t="s">
        <v>1045</v>
      </c>
    </row>
    <row r="134" spans="3:4" x14ac:dyDescent="0.25">
      <c r="C134" t="s">
        <v>1046</v>
      </c>
      <c r="D134" t="s">
        <v>1046</v>
      </c>
    </row>
    <row r="135" spans="3:4" x14ac:dyDescent="0.25">
      <c r="C135" t="s">
        <v>1047</v>
      </c>
      <c r="D135" t="s">
        <v>1047</v>
      </c>
    </row>
    <row r="136" spans="3:4" x14ac:dyDescent="0.25">
      <c r="C136" t="s">
        <v>1048</v>
      </c>
      <c r="D136" t="s">
        <v>1048</v>
      </c>
    </row>
    <row r="137" spans="3:4" x14ac:dyDescent="0.25">
      <c r="C137" t="s">
        <v>1049</v>
      </c>
      <c r="D137" t="s">
        <v>1049</v>
      </c>
    </row>
    <row r="138" spans="3:4" x14ac:dyDescent="0.25">
      <c r="C138" t="s">
        <v>1050</v>
      </c>
      <c r="D138" t="s">
        <v>1050</v>
      </c>
    </row>
    <row r="139" spans="3:4" x14ac:dyDescent="0.25">
      <c r="C139" t="s">
        <v>1051</v>
      </c>
      <c r="D139" t="s">
        <v>1051</v>
      </c>
    </row>
    <row r="140" spans="3:4" x14ac:dyDescent="0.25">
      <c r="C140" t="s">
        <v>1052</v>
      </c>
      <c r="D140" t="s">
        <v>1052</v>
      </c>
    </row>
    <row r="141" spans="3:4" x14ac:dyDescent="0.25">
      <c r="C141" t="s">
        <v>1053</v>
      </c>
      <c r="D141" t="s">
        <v>1053</v>
      </c>
    </row>
    <row r="142" spans="3:4" x14ac:dyDescent="0.25">
      <c r="C142" t="s">
        <v>1054</v>
      </c>
      <c r="D142" t="s">
        <v>1054</v>
      </c>
    </row>
    <row r="143" spans="3:4" x14ac:dyDescent="0.25">
      <c r="C143" t="s">
        <v>1055</v>
      </c>
      <c r="D143" t="s">
        <v>1055</v>
      </c>
    </row>
    <row r="144" spans="3:4" x14ac:dyDescent="0.25">
      <c r="C144" t="s">
        <v>1056</v>
      </c>
      <c r="D144" t="s">
        <v>1056</v>
      </c>
    </row>
    <row r="145" spans="3:4" x14ac:dyDescent="0.25">
      <c r="C145" t="s">
        <v>1057</v>
      </c>
      <c r="D145" t="s">
        <v>1057</v>
      </c>
    </row>
    <row r="146" spans="3:4" x14ac:dyDescent="0.25">
      <c r="C146" t="s">
        <v>1058</v>
      </c>
      <c r="D146" t="s">
        <v>1058</v>
      </c>
    </row>
    <row r="147" spans="3:4" x14ac:dyDescent="0.25">
      <c r="C147" t="s">
        <v>1059</v>
      </c>
      <c r="D147" t="s">
        <v>1059</v>
      </c>
    </row>
    <row r="148" spans="3:4" x14ac:dyDescent="0.25">
      <c r="C148" t="s">
        <v>1060</v>
      </c>
      <c r="D148" t="s">
        <v>1060</v>
      </c>
    </row>
    <row r="149" spans="3:4" x14ac:dyDescent="0.25">
      <c r="C149" t="s">
        <v>1061</v>
      </c>
      <c r="D149" t="s">
        <v>1061</v>
      </c>
    </row>
    <row r="150" spans="3:4" x14ac:dyDescent="0.25">
      <c r="C150" t="s">
        <v>1062</v>
      </c>
      <c r="D150" t="s">
        <v>1062</v>
      </c>
    </row>
    <row r="151" spans="3:4" x14ac:dyDescent="0.25">
      <c r="C151" t="s">
        <v>1063</v>
      </c>
      <c r="D151" t="s">
        <v>1063</v>
      </c>
    </row>
    <row r="152" spans="3:4" x14ac:dyDescent="0.25">
      <c r="C152" t="s">
        <v>1064</v>
      </c>
      <c r="D152" t="s">
        <v>1064</v>
      </c>
    </row>
    <row r="153" spans="3:4" x14ac:dyDescent="0.25">
      <c r="C153" t="s">
        <v>1065</v>
      </c>
      <c r="D153" t="s">
        <v>1065</v>
      </c>
    </row>
    <row r="154" spans="3:4" x14ac:dyDescent="0.25">
      <c r="C154" t="s">
        <v>1066</v>
      </c>
      <c r="D154" t="s">
        <v>1066</v>
      </c>
    </row>
    <row r="155" spans="3:4" x14ac:dyDescent="0.25">
      <c r="C155" t="s">
        <v>1067</v>
      </c>
      <c r="D155" t="s">
        <v>1067</v>
      </c>
    </row>
    <row r="156" spans="3:4" x14ac:dyDescent="0.25">
      <c r="C156" t="s">
        <v>1068</v>
      </c>
      <c r="D156" t="s">
        <v>1068</v>
      </c>
    </row>
    <row r="157" spans="3:4" x14ac:dyDescent="0.25">
      <c r="C157" t="s">
        <v>1069</v>
      </c>
      <c r="D157" t="s">
        <v>1069</v>
      </c>
    </row>
    <row r="158" spans="3:4" x14ac:dyDescent="0.25">
      <c r="C158" t="s">
        <v>1070</v>
      </c>
      <c r="D158" t="s">
        <v>1070</v>
      </c>
    </row>
    <row r="159" spans="3:4" x14ac:dyDescent="0.25">
      <c r="C159" t="s">
        <v>1071</v>
      </c>
      <c r="D159" t="s">
        <v>1071</v>
      </c>
    </row>
    <row r="160" spans="3:4" x14ac:dyDescent="0.25">
      <c r="C160" t="s">
        <v>1072</v>
      </c>
      <c r="D160" t="s">
        <v>1072</v>
      </c>
    </row>
    <row r="161" spans="3:4" x14ac:dyDescent="0.25">
      <c r="C161" t="s">
        <v>1073</v>
      </c>
      <c r="D161" t="s">
        <v>1073</v>
      </c>
    </row>
    <row r="162" spans="3:4" x14ac:dyDescent="0.25">
      <c r="C162" t="s">
        <v>1074</v>
      </c>
      <c r="D162" t="s">
        <v>1074</v>
      </c>
    </row>
    <row r="163" spans="3:4" x14ac:dyDescent="0.25">
      <c r="C163" t="s">
        <v>1075</v>
      </c>
      <c r="D163" t="s">
        <v>1075</v>
      </c>
    </row>
    <row r="164" spans="3:4" x14ac:dyDescent="0.25">
      <c r="C164" t="s">
        <v>1076</v>
      </c>
      <c r="D164" t="s">
        <v>1076</v>
      </c>
    </row>
    <row r="165" spans="3:4" x14ac:dyDescent="0.25">
      <c r="C165" t="s">
        <v>1077</v>
      </c>
      <c r="D165" t="s">
        <v>1077</v>
      </c>
    </row>
    <row r="166" spans="3:4" x14ac:dyDescent="0.25">
      <c r="C166" t="s">
        <v>1078</v>
      </c>
      <c r="D166" t="s">
        <v>1078</v>
      </c>
    </row>
    <row r="167" spans="3:4" x14ac:dyDescent="0.25">
      <c r="C167" t="s">
        <v>1079</v>
      </c>
      <c r="D167" t="s">
        <v>1079</v>
      </c>
    </row>
    <row r="168" spans="3:4" x14ac:dyDescent="0.25">
      <c r="C168" t="s">
        <v>1080</v>
      </c>
      <c r="D168" t="s">
        <v>1080</v>
      </c>
    </row>
    <row r="169" spans="3:4" x14ac:dyDescent="0.25">
      <c r="C169" t="s">
        <v>1081</v>
      </c>
      <c r="D169" t="s">
        <v>1081</v>
      </c>
    </row>
    <row r="170" spans="3:4" x14ac:dyDescent="0.25">
      <c r="C170" t="s">
        <v>1082</v>
      </c>
      <c r="D170" t="s">
        <v>1082</v>
      </c>
    </row>
    <row r="171" spans="3:4" x14ac:dyDescent="0.25">
      <c r="C171" t="s">
        <v>1083</v>
      </c>
      <c r="D171" t="s">
        <v>1083</v>
      </c>
    </row>
    <row r="172" spans="3:4" x14ac:dyDescent="0.25">
      <c r="C172" t="s">
        <v>1084</v>
      </c>
      <c r="D172" t="s">
        <v>1084</v>
      </c>
    </row>
    <row r="173" spans="3:4" x14ac:dyDescent="0.25">
      <c r="C173" t="s">
        <v>1085</v>
      </c>
      <c r="D173" t="s">
        <v>1085</v>
      </c>
    </row>
    <row r="174" spans="3:4" x14ac:dyDescent="0.25">
      <c r="C174" t="s">
        <v>1086</v>
      </c>
      <c r="D174" t="s">
        <v>1086</v>
      </c>
    </row>
    <row r="175" spans="3:4" x14ac:dyDescent="0.25">
      <c r="C175" t="s">
        <v>1087</v>
      </c>
      <c r="D175" t="s">
        <v>1087</v>
      </c>
    </row>
    <row r="176" spans="3:4" x14ac:dyDescent="0.25">
      <c r="C176" t="s">
        <v>1088</v>
      </c>
      <c r="D176" t="s">
        <v>1088</v>
      </c>
    </row>
    <row r="177" spans="3:4" x14ac:dyDescent="0.25">
      <c r="C177" t="s">
        <v>1089</v>
      </c>
      <c r="D177" t="s">
        <v>1089</v>
      </c>
    </row>
    <row r="178" spans="3:4" x14ac:dyDescent="0.25">
      <c r="C178" t="s">
        <v>1090</v>
      </c>
      <c r="D178" t="s">
        <v>1090</v>
      </c>
    </row>
    <row r="179" spans="3:4" x14ac:dyDescent="0.25">
      <c r="C179" t="s">
        <v>1091</v>
      </c>
      <c r="D179" t="s">
        <v>1091</v>
      </c>
    </row>
    <row r="180" spans="3:4" x14ac:dyDescent="0.25">
      <c r="C180" t="s">
        <v>1092</v>
      </c>
      <c r="D180" t="s">
        <v>1092</v>
      </c>
    </row>
    <row r="181" spans="3:4" x14ac:dyDescent="0.25">
      <c r="C181" t="s">
        <v>1093</v>
      </c>
      <c r="D181" t="s">
        <v>1093</v>
      </c>
    </row>
    <row r="182" spans="3:4" x14ac:dyDescent="0.25">
      <c r="C182" t="s">
        <v>1094</v>
      </c>
      <c r="D182" t="s">
        <v>1094</v>
      </c>
    </row>
    <row r="183" spans="3:4" x14ac:dyDescent="0.25">
      <c r="C183" t="s">
        <v>1095</v>
      </c>
      <c r="D183" t="s">
        <v>1095</v>
      </c>
    </row>
    <row r="184" spans="3:4" x14ac:dyDescent="0.25">
      <c r="C184" t="s">
        <v>1096</v>
      </c>
      <c r="D184" t="s">
        <v>1096</v>
      </c>
    </row>
    <row r="185" spans="3:4" x14ac:dyDescent="0.25">
      <c r="C185" t="s">
        <v>1097</v>
      </c>
      <c r="D185" t="s">
        <v>1097</v>
      </c>
    </row>
    <row r="186" spans="3:4" x14ac:dyDescent="0.25">
      <c r="C186" t="s">
        <v>1098</v>
      </c>
      <c r="D186" t="s">
        <v>1098</v>
      </c>
    </row>
    <row r="187" spans="3:4" x14ac:dyDescent="0.25">
      <c r="C187" t="s">
        <v>1099</v>
      </c>
      <c r="D187" t="s">
        <v>1099</v>
      </c>
    </row>
    <row r="188" spans="3:4" x14ac:dyDescent="0.25">
      <c r="C188" t="s">
        <v>1100</v>
      </c>
      <c r="D188" t="s">
        <v>1100</v>
      </c>
    </row>
    <row r="189" spans="3:4" x14ac:dyDescent="0.25">
      <c r="C189" t="s">
        <v>1101</v>
      </c>
      <c r="D189" t="s">
        <v>1101</v>
      </c>
    </row>
    <row r="190" spans="3:4" x14ac:dyDescent="0.25">
      <c r="C190" t="s">
        <v>1102</v>
      </c>
      <c r="D190" t="s">
        <v>1102</v>
      </c>
    </row>
    <row r="191" spans="3:4" x14ac:dyDescent="0.25">
      <c r="C191" t="s">
        <v>1103</v>
      </c>
      <c r="D191" t="s">
        <v>1103</v>
      </c>
    </row>
    <row r="192" spans="3:4" x14ac:dyDescent="0.25">
      <c r="C192" t="s">
        <v>1104</v>
      </c>
      <c r="D192" t="s">
        <v>1104</v>
      </c>
    </row>
    <row r="193" spans="3:4" x14ac:dyDescent="0.25">
      <c r="C193" t="s">
        <v>1105</v>
      </c>
      <c r="D193" t="s">
        <v>1105</v>
      </c>
    </row>
    <row r="194" spans="3:4" x14ac:dyDescent="0.25">
      <c r="C194" t="s">
        <v>1106</v>
      </c>
      <c r="D194" t="s">
        <v>1106</v>
      </c>
    </row>
    <row r="195" spans="3:4" x14ac:dyDescent="0.25">
      <c r="C195" t="s">
        <v>1107</v>
      </c>
      <c r="D195" t="s">
        <v>1107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Innovation Record</vt:lpstr>
      <vt:lpstr>ReferenceData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2026-03-27T13:45:49Z</dcterms:created>
  <dcterms:modified xsi:type="dcterms:W3CDTF">2026-03-27T13:45:49Z</dcterms:modified>
</cp:coreProperties>
</file>